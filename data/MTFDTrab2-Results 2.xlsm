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worksheets/sheet6.xml" ContentType="application/vnd.openxmlformats-officedocument.spreadsheetml.work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drawings/drawing15.xml" ContentType="application/vnd.openxmlformats-officedocument.drawing+xml"/>
  <Override PartName="/xl/charts/chart14.xml" ContentType="application/vnd.openxmlformats-officedocument.drawingml.chart+xml"/>
  <Override PartName="/xl/drawings/drawing16.xml" ContentType="application/vnd.openxmlformats-officedocument.drawing+xml"/>
  <Override PartName="/xl/charts/chart15.xml" ContentType="application/vnd.openxmlformats-officedocument.drawingml.chart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528" codeName="{B1203076-2D4D-A25B-A398-973B695A806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Área de Trabalho\Modelamento TFD 2017\MTFDTrab2-Texto\Trab2_Dados\"/>
    </mc:Choice>
  </mc:AlternateContent>
  <bookViews>
    <workbookView xWindow="480" yWindow="36" windowWidth="22056" windowHeight="8556" firstSheet="13" activeTab="18"/>
  </bookViews>
  <sheets>
    <sheet name="Cp" sheetId="14" r:id="rId1"/>
    <sheet name="k" sheetId="15" r:id="rId2"/>
    <sheet name="Emissividade" sheetId="16" r:id="rId3"/>
    <sheet name="Ponto 1" sheetId="2" r:id="rId4"/>
    <sheet name="Ponto 2" sheetId="4" r:id="rId5"/>
    <sheet name="Ponto 3" sheetId="5" r:id="rId6"/>
    <sheet name="Ponto 4" sheetId="6" r:id="rId7"/>
    <sheet name="Ponto 5" sheetId="7" r:id="rId8"/>
    <sheet name="Ponto 6" sheetId="8" r:id="rId9"/>
    <sheet name="Ponto 7" sheetId="9" r:id="rId10"/>
    <sheet name="Ponto 8" sheetId="10" r:id="rId11"/>
    <sheet name="Ponto 9" sheetId="11" r:id="rId12"/>
    <sheet name="IndepMalha 200s" sheetId="1" r:id="rId13"/>
    <sheet name="Indep Malha 1940s _Linhas" sheetId="12" r:id="rId14"/>
    <sheet name="1940 s X 0.50" sheetId="13" r:id="rId15"/>
    <sheet name="1940 s Y 0.10" sheetId="17" r:id="rId16"/>
    <sheet name="Indep Malha  800s_Linhas" sheetId="18" r:id="rId17"/>
    <sheet name="800 s X 0.50" sheetId="19" r:id="rId18"/>
    <sheet name="800 s Y 0.10" sheetId="20" r:id="rId19"/>
  </sheets>
  <externalReferences>
    <externalReference r:id="rId20"/>
  </externalReferences>
  <calcPr calcId="162913"/>
</workbook>
</file>

<file path=xl/calcChain.xml><?xml version="1.0" encoding="utf-8"?>
<calcChain xmlns="http://schemas.openxmlformats.org/spreadsheetml/2006/main">
  <c r="AO2" i="18" l="1"/>
  <c r="W2" i="18"/>
  <c r="AF2" i="18"/>
  <c r="N2" i="18"/>
  <c r="E2" i="18"/>
  <c r="W2" i="12"/>
  <c r="N2" i="12"/>
  <c r="AY2" i="12"/>
  <c r="AP2" i="12"/>
  <c r="AG2" i="12"/>
  <c r="E2" i="12"/>
  <c r="C3" i="15" l="1"/>
  <c r="B4" i="15"/>
  <c r="B5" i="15" s="1"/>
  <c r="B6" i="15" s="1"/>
  <c r="C4" i="14"/>
  <c r="F4" i="14"/>
  <c r="B5" i="14"/>
  <c r="C5" i="14"/>
  <c r="F5" i="14"/>
  <c r="H5" i="14"/>
  <c r="H6" i="14" s="1"/>
  <c r="H7" i="14" s="1"/>
  <c r="H8" i="14" s="1"/>
  <c r="H9" i="14" s="1"/>
  <c r="H10" i="14" s="1"/>
  <c r="H11" i="14" s="1"/>
  <c r="H12" i="14" s="1"/>
  <c r="H13" i="14" s="1"/>
  <c r="H14" i="14" s="1"/>
  <c r="H15" i="14" s="1"/>
  <c r="H16" i="14" s="1"/>
  <c r="H17" i="14" s="1"/>
  <c r="H18" i="14" s="1"/>
  <c r="H19" i="14" s="1"/>
  <c r="H20" i="14" s="1"/>
  <c r="H21" i="14" s="1"/>
  <c r="H22" i="14" s="1"/>
  <c r="H23" i="14" s="1"/>
  <c r="H24" i="14" s="1"/>
  <c r="H25" i="14" s="1"/>
  <c r="H26" i="14" s="1"/>
  <c r="H27" i="14" s="1"/>
  <c r="H28" i="14" s="1"/>
  <c r="H29" i="14" s="1"/>
  <c r="H30" i="14" s="1"/>
  <c r="H31" i="14" s="1"/>
  <c r="H32" i="14" s="1"/>
  <c r="H33" i="14" s="1"/>
  <c r="H34" i="14" s="1"/>
  <c r="B6" i="14"/>
  <c r="C6" i="14"/>
  <c r="E6" i="14"/>
  <c r="F6" i="14" s="1"/>
  <c r="B7" i="14"/>
  <c r="C7" i="14" s="1"/>
  <c r="C78" i="14"/>
  <c r="C4" i="15" l="1"/>
  <c r="B7" i="15"/>
  <c r="C6" i="15"/>
  <c r="C5" i="15"/>
  <c r="E7" i="14"/>
  <c r="F7" i="14" s="1"/>
  <c r="E8" i="14"/>
  <c r="B8" i="14"/>
  <c r="U867" i="1"/>
  <c r="T867" i="1"/>
  <c r="U760" i="1"/>
  <c r="T760" i="1"/>
  <c r="U654" i="1"/>
  <c r="T654" i="1"/>
  <c r="U548" i="1"/>
  <c r="T548" i="1"/>
  <c r="U442" i="1"/>
  <c r="T442" i="1"/>
  <c r="U336" i="1"/>
  <c r="T336" i="1"/>
  <c r="U231" i="1"/>
  <c r="T231" i="1"/>
  <c r="U126" i="1"/>
  <c r="T126" i="1"/>
  <c r="U21" i="1"/>
  <c r="T21" i="1"/>
  <c r="B8" i="15" l="1"/>
  <c r="C7" i="15"/>
  <c r="F8" i="14"/>
  <c r="E9" i="14"/>
  <c r="C8" i="14"/>
  <c r="B9" i="14"/>
  <c r="M867" i="1"/>
  <c r="L867" i="1"/>
  <c r="M760" i="1"/>
  <c r="L760" i="1"/>
  <c r="M654" i="1"/>
  <c r="L654" i="1"/>
  <c r="M548" i="1"/>
  <c r="L548" i="1"/>
  <c r="M442" i="1"/>
  <c r="L442" i="1"/>
  <c r="M336" i="1"/>
  <c r="L336" i="1"/>
  <c r="M231" i="1"/>
  <c r="L231" i="1"/>
  <c r="M126" i="1"/>
  <c r="L126" i="1"/>
  <c r="M21" i="1"/>
  <c r="L21" i="1"/>
  <c r="E867" i="1"/>
  <c r="D867" i="1"/>
  <c r="E760" i="1"/>
  <c r="D760" i="1"/>
  <c r="E654" i="1"/>
  <c r="D654" i="1"/>
  <c r="E548" i="1"/>
  <c r="D548" i="1"/>
  <c r="E442" i="1"/>
  <c r="D442" i="1"/>
  <c r="E231" i="1"/>
  <c r="D231" i="1"/>
  <c r="E126" i="1"/>
  <c r="D126" i="1"/>
  <c r="E21" i="1"/>
  <c r="D21" i="1"/>
  <c r="D336" i="1"/>
  <c r="E336" i="1"/>
  <c r="C8" i="15" l="1"/>
  <c r="B9" i="15"/>
  <c r="C9" i="14"/>
  <c r="B10" i="14"/>
  <c r="F9" i="14"/>
  <c r="E10" i="14"/>
  <c r="B10" i="15" l="1"/>
  <c r="C9" i="15"/>
  <c r="F10" i="14"/>
  <c r="E11" i="14"/>
  <c r="B11" i="14"/>
  <c r="C10" i="14"/>
  <c r="B11" i="15" l="1"/>
  <c r="C10" i="15"/>
  <c r="C11" i="14"/>
  <c r="B12" i="14"/>
  <c r="F11" i="14"/>
  <c r="E12" i="14"/>
  <c r="B12" i="15" l="1"/>
  <c r="C11" i="15"/>
  <c r="F12" i="14"/>
  <c r="E13" i="14"/>
  <c r="C12" i="14"/>
  <c r="B13" i="14"/>
  <c r="C12" i="15" l="1"/>
  <c r="B13" i="15"/>
  <c r="C13" i="14"/>
  <c r="B14" i="14"/>
  <c r="F13" i="14"/>
  <c r="E14" i="14"/>
  <c r="B14" i="15" l="1"/>
  <c r="C13" i="15"/>
  <c r="F14" i="14"/>
  <c r="E15" i="14"/>
  <c r="C14" i="14"/>
  <c r="B15" i="14"/>
  <c r="B15" i="15" l="1"/>
  <c r="C14" i="15"/>
  <c r="C15" i="14"/>
  <c r="B16" i="14"/>
  <c r="F15" i="14"/>
  <c r="E16" i="14"/>
  <c r="B16" i="15" l="1"/>
  <c r="C15" i="15"/>
  <c r="F16" i="14"/>
  <c r="E17" i="14"/>
  <c r="C16" i="14"/>
  <c r="B17" i="14"/>
  <c r="C16" i="15" l="1"/>
  <c r="B17" i="15"/>
  <c r="C17" i="14"/>
  <c r="B18" i="14"/>
  <c r="F17" i="14"/>
  <c r="E18" i="14"/>
  <c r="B18" i="15" l="1"/>
  <c r="C17" i="15"/>
  <c r="F18" i="14"/>
  <c r="E19" i="14"/>
  <c r="B19" i="14"/>
  <c r="C18" i="14"/>
  <c r="C18" i="15" l="1"/>
  <c r="B19" i="15"/>
  <c r="C19" i="14"/>
  <c r="B20" i="14"/>
  <c r="F19" i="14"/>
  <c r="E20" i="14"/>
  <c r="B20" i="15" l="1"/>
  <c r="C19" i="15"/>
  <c r="F20" i="14"/>
  <c r="E21" i="14"/>
  <c r="F21" i="14" s="1"/>
  <c r="C20" i="14"/>
  <c r="B21" i="14"/>
  <c r="C20" i="15" l="1"/>
  <c r="B21" i="15"/>
  <c r="C21" i="14"/>
  <c r="B22" i="14"/>
  <c r="B22" i="15" l="1"/>
  <c r="C21" i="15"/>
  <c r="B23" i="14"/>
  <c r="C22" i="14"/>
  <c r="C22" i="15" l="1"/>
  <c r="B23" i="15"/>
  <c r="B24" i="14"/>
  <c r="C23" i="14"/>
  <c r="B24" i="15" l="1"/>
  <c r="C23" i="15"/>
  <c r="B25" i="14"/>
  <c r="C24" i="14"/>
  <c r="C24" i="15" l="1"/>
  <c r="B25" i="15"/>
  <c r="C25" i="14"/>
  <c r="B26" i="14"/>
  <c r="B26" i="15" l="1"/>
  <c r="C25" i="15"/>
  <c r="B27" i="14"/>
  <c r="C26" i="14"/>
  <c r="C26" i="15" l="1"/>
  <c r="B27" i="15"/>
  <c r="B28" i="14"/>
  <c r="C27" i="14"/>
  <c r="B28" i="15" l="1"/>
  <c r="C27" i="15"/>
  <c r="B29" i="14"/>
  <c r="C28" i="14"/>
  <c r="C28" i="15" l="1"/>
  <c r="B29" i="15"/>
  <c r="C29" i="14"/>
  <c r="B30" i="14"/>
  <c r="B30" i="15" l="1"/>
  <c r="C29" i="15"/>
  <c r="B31" i="14"/>
  <c r="C30" i="14"/>
  <c r="C30" i="15" l="1"/>
  <c r="B31" i="15"/>
  <c r="B32" i="14"/>
  <c r="C31" i="14"/>
  <c r="B32" i="15" l="1"/>
  <c r="C31" i="15"/>
  <c r="C32" i="14"/>
  <c r="B33" i="14"/>
  <c r="C32" i="15" l="1"/>
  <c r="B33" i="15"/>
  <c r="C33" i="14"/>
  <c r="B34" i="14"/>
  <c r="B34" i="15" l="1"/>
  <c r="C33" i="15"/>
  <c r="C34" i="14"/>
  <c r="B35" i="14"/>
  <c r="C34" i="15" l="1"/>
  <c r="B35" i="15"/>
  <c r="B36" i="14"/>
  <c r="C35" i="14"/>
  <c r="B36" i="15" l="1"/>
  <c r="C35" i="15"/>
  <c r="C36" i="14"/>
  <c r="B37" i="14"/>
  <c r="C36" i="15" l="1"/>
  <c r="B37" i="15"/>
  <c r="C37" i="14"/>
  <c r="B38" i="14"/>
  <c r="B38" i="15" l="1"/>
  <c r="C37" i="15"/>
  <c r="C38" i="14"/>
  <c r="B39" i="14"/>
  <c r="C38" i="15" l="1"/>
  <c r="B39" i="15"/>
  <c r="B40" i="14"/>
  <c r="C39" i="14"/>
  <c r="B40" i="15" l="1"/>
  <c r="C39" i="15"/>
  <c r="C40" i="14"/>
  <c r="B41" i="14"/>
  <c r="C40" i="15" l="1"/>
  <c r="B41" i="15"/>
  <c r="B42" i="14"/>
  <c r="C41" i="14"/>
  <c r="B42" i="15" l="1"/>
  <c r="C41" i="15"/>
  <c r="C42" i="14"/>
  <c r="B43" i="14"/>
  <c r="C42" i="15" l="1"/>
  <c r="B43" i="15"/>
  <c r="C43" i="14"/>
  <c r="B44" i="14"/>
  <c r="B44" i="15" l="1"/>
  <c r="C43" i="15"/>
  <c r="C44" i="14"/>
  <c r="B45" i="14"/>
  <c r="C44" i="15" l="1"/>
  <c r="B45" i="15"/>
  <c r="B46" i="14"/>
  <c r="C45" i="14"/>
  <c r="B46" i="15" l="1"/>
  <c r="C45" i="15"/>
  <c r="C46" i="14"/>
  <c r="B47" i="14"/>
  <c r="C46" i="15" l="1"/>
  <c r="B47" i="15"/>
  <c r="B48" i="14"/>
  <c r="C47" i="14"/>
  <c r="B48" i="15" l="1"/>
  <c r="C47" i="15"/>
  <c r="C48" i="14"/>
  <c r="B49" i="14"/>
  <c r="C48" i="15" l="1"/>
  <c r="B49" i="15"/>
  <c r="B50" i="14"/>
  <c r="C49" i="14"/>
  <c r="B50" i="15" l="1"/>
  <c r="C49" i="15"/>
  <c r="C50" i="14"/>
  <c r="B51" i="14"/>
  <c r="C50" i="15" l="1"/>
  <c r="B51" i="15"/>
  <c r="C51" i="14"/>
  <c r="B52" i="14"/>
  <c r="B52" i="15" l="1"/>
  <c r="C51" i="15"/>
  <c r="C52" i="14"/>
  <c r="B53" i="14"/>
  <c r="C52" i="15" l="1"/>
  <c r="B53" i="15"/>
  <c r="B54" i="14"/>
  <c r="C53" i="14"/>
  <c r="B54" i="15" l="1"/>
  <c r="C53" i="15"/>
  <c r="C54" i="14"/>
  <c r="B55" i="14"/>
  <c r="C54" i="15" l="1"/>
  <c r="B55" i="15"/>
  <c r="C55" i="14"/>
  <c r="B56" i="14"/>
  <c r="B56" i="15" l="1"/>
  <c r="C55" i="15"/>
  <c r="C56" i="14"/>
  <c r="B57" i="14"/>
  <c r="C56" i="15" l="1"/>
  <c r="B57" i="15"/>
  <c r="B58" i="14"/>
  <c r="C57" i="14"/>
  <c r="B58" i="15" l="1"/>
  <c r="C57" i="15"/>
  <c r="C58" i="14"/>
  <c r="B59" i="14"/>
  <c r="C58" i="15" l="1"/>
  <c r="B59" i="15"/>
  <c r="B60" i="14"/>
  <c r="C59" i="14"/>
  <c r="B60" i="15" l="1"/>
  <c r="C59" i="15"/>
  <c r="C60" i="14"/>
  <c r="B61" i="14"/>
  <c r="C60" i="15" l="1"/>
  <c r="B61" i="15"/>
  <c r="C61" i="14"/>
  <c r="B62" i="14"/>
  <c r="B62" i="15" l="1"/>
  <c r="C61" i="15"/>
  <c r="C62" i="14"/>
  <c r="B63" i="14"/>
  <c r="C62" i="15" l="1"/>
  <c r="B63" i="15"/>
  <c r="B64" i="14"/>
  <c r="C63" i="14"/>
  <c r="B64" i="15" l="1"/>
  <c r="C63" i="15"/>
  <c r="C64" i="14"/>
  <c r="B65" i="14"/>
  <c r="C64" i="15" l="1"/>
  <c r="B65" i="15"/>
  <c r="B66" i="14"/>
  <c r="C65" i="14"/>
  <c r="B66" i="15" l="1"/>
  <c r="C65" i="15"/>
  <c r="C66" i="14"/>
  <c r="B67" i="14"/>
  <c r="C66" i="15" l="1"/>
  <c r="B67" i="15"/>
  <c r="B68" i="14"/>
  <c r="C67" i="14"/>
  <c r="C67" i="15" l="1"/>
  <c r="B68" i="15"/>
  <c r="C68" i="14"/>
  <c r="B69" i="14"/>
  <c r="B69" i="15" l="1"/>
  <c r="C68" i="15"/>
  <c r="B70" i="14"/>
  <c r="C69" i="14"/>
  <c r="C69" i="15" l="1"/>
  <c r="B70" i="15"/>
  <c r="C70" i="14"/>
  <c r="B71" i="14"/>
  <c r="B71" i="15" l="1"/>
  <c r="C70" i="15"/>
  <c r="B72" i="14"/>
  <c r="C71" i="14"/>
  <c r="B72" i="15" l="1"/>
  <c r="C71" i="15"/>
  <c r="C72" i="14"/>
  <c r="B73" i="14"/>
  <c r="B73" i="15" l="1"/>
  <c r="C72" i="15"/>
  <c r="B74" i="14"/>
  <c r="C73" i="14"/>
  <c r="C73" i="15" l="1"/>
  <c r="B74" i="15"/>
  <c r="C74" i="14"/>
  <c r="B75" i="14"/>
  <c r="B75" i="15" l="1"/>
  <c r="C74" i="15"/>
  <c r="B76" i="14"/>
  <c r="C75" i="14"/>
  <c r="C75" i="15" l="1"/>
  <c r="B76" i="15"/>
  <c r="C76" i="14"/>
  <c r="B77" i="14"/>
  <c r="C77" i="14" s="1"/>
  <c r="B77" i="15" l="1"/>
  <c r="C76" i="15"/>
  <c r="C77" i="15" l="1"/>
  <c r="B78" i="15"/>
  <c r="B79" i="15" l="1"/>
  <c r="C78" i="15"/>
  <c r="B80" i="15" l="1"/>
  <c r="C79" i="15"/>
  <c r="B81" i="15" l="1"/>
  <c r="C80" i="15"/>
  <c r="C81" i="15" l="1"/>
  <c r="B82" i="15"/>
  <c r="B83" i="15" l="1"/>
  <c r="C82" i="15"/>
  <c r="C83" i="15" l="1"/>
  <c r="B84" i="15"/>
  <c r="B85" i="15" l="1"/>
  <c r="C84" i="15"/>
  <c r="C85" i="15" l="1"/>
  <c r="B86" i="15"/>
  <c r="B87" i="15" l="1"/>
  <c r="C86" i="15"/>
  <c r="B88" i="15" l="1"/>
  <c r="C87" i="15"/>
  <c r="B89" i="15" l="1"/>
  <c r="C88" i="15"/>
  <c r="C89" i="15" l="1"/>
  <c r="B90" i="15"/>
  <c r="B91" i="15" l="1"/>
  <c r="C90" i="15"/>
  <c r="C91" i="15" l="1"/>
  <c r="B92" i="15"/>
  <c r="B93" i="15" l="1"/>
  <c r="C92" i="15"/>
  <c r="C93" i="15" l="1"/>
  <c r="B94" i="15"/>
  <c r="B95" i="15" l="1"/>
  <c r="C94" i="15"/>
  <c r="B96" i="15" l="1"/>
  <c r="C95" i="15"/>
  <c r="B97" i="15" l="1"/>
  <c r="C96" i="15"/>
  <c r="C97" i="15" l="1"/>
  <c r="B98" i="15"/>
  <c r="B99" i="15" l="1"/>
  <c r="C98" i="15"/>
  <c r="C99" i="15" l="1"/>
  <c r="B100" i="15"/>
  <c r="B101" i="15" l="1"/>
  <c r="C100" i="15"/>
  <c r="C101" i="15" l="1"/>
  <c r="B102" i="15"/>
  <c r="B103" i="15" l="1"/>
  <c r="C102" i="15"/>
  <c r="B104" i="15" l="1"/>
  <c r="C103" i="15"/>
  <c r="B105" i="15" l="1"/>
  <c r="C104" i="15"/>
  <c r="C105" i="15" l="1"/>
  <c r="B106" i="15"/>
  <c r="B107" i="15" l="1"/>
  <c r="C106" i="15"/>
  <c r="B108" i="15" l="1"/>
  <c r="C107" i="15"/>
  <c r="C108" i="15" l="1"/>
  <c r="B109" i="15"/>
  <c r="C109" i="15" l="1"/>
  <c r="B110" i="15"/>
  <c r="B111" i="15" l="1"/>
  <c r="C110" i="15"/>
  <c r="B112" i="15" l="1"/>
  <c r="C111" i="15"/>
  <c r="B113" i="15" l="1"/>
  <c r="C112" i="15"/>
  <c r="C113" i="15" l="1"/>
  <c r="B114" i="15"/>
  <c r="B115" i="15" l="1"/>
  <c r="C114" i="15"/>
  <c r="C115" i="15" l="1"/>
  <c r="B116" i="15"/>
  <c r="B117" i="15" l="1"/>
  <c r="C116" i="15"/>
  <c r="C117" i="15" l="1"/>
  <c r="B118" i="15"/>
  <c r="B119" i="15" l="1"/>
  <c r="C118" i="15"/>
  <c r="B120" i="15" l="1"/>
  <c r="C119" i="15"/>
  <c r="B121" i="15" l="1"/>
  <c r="C120" i="15"/>
  <c r="C121" i="15" l="1"/>
  <c r="B122" i="15"/>
  <c r="B123" i="15" l="1"/>
  <c r="C123" i="15" s="1"/>
  <c r="C122" i="15"/>
</calcChain>
</file>

<file path=xl/sharedStrings.xml><?xml version="1.0" encoding="utf-8"?>
<sst xmlns="http://schemas.openxmlformats.org/spreadsheetml/2006/main" count="739" uniqueCount="45">
  <si>
    <t>Time(s)</t>
  </si>
  <si>
    <t>X(m)</t>
  </si>
  <si>
    <t>Y(m)</t>
  </si>
  <si>
    <t>Temp(K)</t>
  </si>
  <si>
    <t>Cp(J/kg.K)</t>
  </si>
  <si>
    <t>K(W/sq-m.K)</t>
  </si>
  <si>
    <t>X</t>
  </si>
  <si>
    <t>Y</t>
  </si>
  <si>
    <t>Métodos</t>
  </si>
  <si>
    <t>Jacobi method</t>
  </si>
  <si>
    <t>Gauss-Seidel method</t>
  </si>
  <si>
    <t>TDMA</t>
  </si>
  <si>
    <t>TDMA with ADI</t>
  </si>
  <si>
    <t>Mesh</t>
  </si>
  <si>
    <t>Default time step</t>
  </si>
  <si>
    <t>Solver method</t>
  </si>
  <si>
    <t>Tolerance</t>
  </si>
  <si>
    <t>Pontos de interesse</t>
  </si>
  <si>
    <t>Ponto</t>
  </si>
  <si>
    <t>Nome para gráfico</t>
  </si>
  <si>
    <t>TDMA with ADI 241x241 - 200s</t>
  </si>
  <si>
    <t>TDMA with ADI 121x121 - 200s</t>
  </si>
  <si>
    <t>TDMA with ADI 61x61 - 200s</t>
  </si>
  <si>
    <t>X = 0.25</t>
  </si>
  <si>
    <t>T(K)</t>
  </si>
  <si>
    <t>X = 0.50</t>
  </si>
  <si>
    <t>Y = 0.05</t>
  </si>
  <si>
    <t>Y = 0.10</t>
  </si>
  <si>
    <t>Y = 0.15</t>
  </si>
  <si>
    <t>Cp(J/Kg.K)</t>
  </si>
  <si>
    <t>300 - 1033 K</t>
  </si>
  <si>
    <t>1033 - 1200 K</t>
  </si>
  <si>
    <t>1200 - 1776 K</t>
  </si>
  <si>
    <t>k(W/m.K)</t>
  </si>
  <si>
    <t>Emissividade do aço</t>
  </si>
  <si>
    <t>3x3</t>
  </si>
  <si>
    <t>7x7</t>
  </si>
  <si>
    <t>15x15</t>
  </si>
  <si>
    <t>31x31</t>
  </si>
  <si>
    <t>61x61</t>
  </si>
  <si>
    <t>121x121</t>
  </si>
  <si>
    <t>91x91</t>
  </si>
  <si>
    <t>77x77</t>
  </si>
  <si>
    <t>111x111</t>
  </si>
  <si>
    <t>241x241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</si>
</sst>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6" formatCode="0.0"/>
  </numFmts>
  <fonts count="4" x14ac:knownFonts="1">
    <font>
      <sz val="12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67">
    <xf numFmtId="0" fontId="0" fillId="0" borderId="0" xfId="0"/>
    <xf numFmtId="0" fontId="0" fillId="0" borderId="0" xfId="0" applyAlignment="1">
      <alignment vertical="center"/>
    </xf>
    <xf numFmtId="2" fontId="0" fillId="0" borderId="0" xfId="0" applyNumberFormat="1" applyAlignment="1">
      <alignment vertical="center"/>
    </xf>
    <xf numFmtId="0" fontId="0" fillId="0" borderId="1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9" xfId="0" applyBorder="1" applyAlignment="1">
      <alignment vertical="center"/>
    </xf>
    <xf numFmtId="0" fontId="2" fillId="0" borderId="10" xfId="0" applyFon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2" fontId="0" fillId="0" borderId="9" xfId="0" applyNumberFormat="1" applyBorder="1" applyAlignment="1">
      <alignment vertical="center"/>
    </xf>
    <xf numFmtId="2" fontId="0" fillId="0" borderId="9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2" fontId="0" fillId="0" borderId="17" xfId="0" applyNumberFormat="1" applyBorder="1" applyAlignment="1">
      <alignment horizontal="center"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16" xfId="0" applyBorder="1" applyAlignment="1">
      <alignment vertical="center"/>
    </xf>
    <xf numFmtId="2" fontId="0" fillId="0" borderId="3" xfId="0" applyNumberFormat="1" applyBorder="1" applyAlignment="1">
      <alignment vertical="center"/>
    </xf>
    <xf numFmtId="2" fontId="0" fillId="0" borderId="5" xfId="0" applyNumberFormat="1" applyBorder="1" applyAlignment="1">
      <alignment vertical="center"/>
    </xf>
    <xf numFmtId="2" fontId="2" fillId="3" borderId="15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0" fillId="0" borderId="0" xfId="0" applyNumberFormat="1" applyBorder="1" applyAlignment="1">
      <alignment vertical="center"/>
    </xf>
    <xf numFmtId="1" fontId="0" fillId="0" borderId="16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2" fontId="0" fillId="0" borderId="18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" fontId="0" fillId="0" borderId="21" xfId="0" applyNumberForma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2" fontId="2" fillId="2" borderId="9" xfId="0" applyNumberFormat="1" applyFont="1" applyFill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0" xfId="1"/>
    <xf numFmtId="0" fontId="1" fillId="0" borderId="0" xfId="1" applyAlignment="1">
      <alignment horizontal="center" vertical="center"/>
    </xf>
    <xf numFmtId="0" fontId="3" fillId="2" borderId="9" xfId="1" applyFont="1" applyFill="1" applyBorder="1" applyAlignment="1">
      <alignment horizontal="center" vertical="center"/>
    </xf>
    <xf numFmtId="0" fontId="1" fillId="0" borderId="9" xfId="1" applyBorder="1" applyAlignment="1">
      <alignment horizontal="center" vertical="center"/>
    </xf>
    <xf numFmtId="2" fontId="3" fillId="2" borderId="9" xfId="1" applyNumberFormat="1" applyFont="1" applyFill="1" applyBorder="1" applyAlignment="1">
      <alignment horizontal="center" vertical="center"/>
    </xf>
    <xf numFmtId="2" fontId="1" fillId="0" borderId="9" xfId="1" applyNumberFormat="1" applyBorder="1" applyAlignment="1">
      <alignment horizontal="center" vertical="center"/>
    </xf>
    <xf numFmtId="2" fontId="1" fillId="0" borderId="0" xfId="1" applyNumberFormat="1" applyAlignment="1">
      <alignment horizontal="center" vertical="center"/>
    </xf>
    <xf numFmtId="0" fontId="1" fillId="0" borderId="22" xfId="1" quotePrefix="1" applyBorder="1" applyAlignment="1">
      <alignment horizontal="center" vertical="center"/>
    </xf>
    <xf numFmtId="0" fontId="0" fillId="0" borderId="9" xfId="0" applyBorder="1"/>
    <xf numFmtId="0" fontId="0" fillId="0" borderId="0" xfId="0" applyAlignment="1">
      <alignment horizontal="center" vertical="center"/>
    </xf>
    <xf numFmtId="166" fontId="0" fillId="0" borderId="0" xfId="0" applyNumberFormat="1"/>
    <xf numFmtId="164" fontId="0" fillId="0" borderId="0" xfId="0" applyNumberFormat="1"/>
    <xf numFmtId="0" fontId="0" fillId="0" borderId="23" xfId="0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0" borderId="0" xfId="0" applyBorder="1"/>
    <xf numFmtId="0" fontId="0" fillId="0" borderId="5" xfId="0" applyBorder="1"/>
    <xf numFmtId="0" fontId="0" fillId="0" borderId="24" xfId="0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xml"/><Relationship Id="rId13" Type="http://schemas.openxmlformats.org/officeDocument/2006/relationships/worksheet" Target="worksheets/sheet4.xml"/><Relationship Id="rId18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chartsheet" Target="chartsheets/sheet4.xml"/><Relationship Id="rId12" Type="http://schemas.openxmlformats.org/officeDocument/2006/relationships/chartsheet" Target="chartsheets/sheet9.xml"/><Relationship Id="rId17" Type="http://schemas.openxmlformats.org/officeDocument/2006/relationships/worksheet" Target="worksheets/sheet6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1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hartsheet" Target="chartsheets/sheet8.xml"/><Relationship Id="rId24" Type="http://schemas.openxmlformats.org/officeDocument/2006/relationships/calcChain" Target="calcChain.xml"/><Relationship Id="rId5" Type="http://schemas.openxmlformats.org/officeDocument/2006/relationships/chartsheet" Target="chartsheets/sheet2.xml"/><Relationship Id="rId15" Type="http://schemas.openxmlformats.org/officeDocument/2006/relationships/chartsheet" Target="chartsheets/sheet10.xml"/><Relationship Id="rId23" Type="http://schemas.openxmlformats.org/officeDocument/2006/relationships/sharedStrings" Target="sharedStrings.xml"/><Relationship Id="rId10" Type="http://schemas.openxmlformats.org/officeDocument/2006/relationships/chartsheet" Target="chartsheets/sheet7.xml"/><Relationship Id="rId19" Type="http://schemas.openxmlformats.org/officeDocument/2006/relationships/chartsheet" Target="chartsheets/sheet13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6.xml"/><Relationship Id="rId14" Type="http://schemas.openxmlformats.org/officeDocument/2006/relationships/worksheet" Target="worksheets/sheet5.xml"/><Relationship Id="rId22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1800">
                <a:solidFill>
                  <a:schemeClr val="tx1"/>
                </a:solidFill>
              </a:rPr>
              <a:t>Comportamento do calor específico do aço AISI 1018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380040647246315"/>
          <c:y val="9.7112693715833295E-2"/>
          <c:w val="0.86420617556796941"/>
          <c:h val="0.7654843940685758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Cp!$B$4:$B$78</c:f>
              <c:numCache>
                <c:formatCode>General</c:formatCode>
                <c:ptCount val="75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  <c:pt idx="71">
                  <c:v>1010</c:v>
                </c:pt>
                <c:pt idx="72">
                  <c:v>1020</c:v>
                </c:pt>
                <c:pt idx="73">
                  <c:v>1030</c:v>
                </c:pt>
                <c:pt idx="74">
                  <c:v>1033</c:v>
                </c:pt>
              </c:numCache>
            </c:numRef>
          </c:xVal>
          <c:yVal>
            <c:numRef>
              <c:f>Cp!$C$4:$C$78</c:f>
              <c:numCache>
                <c:formatCode>0.00</c:formatCode>
                <c:ptCount val="75"/>
                <c:pt idx="0">
                  <c:v>478.57299999999992</c:v>
                </c:pt>
                <c:pt idx="1">
                  <c:v>471.00529130000024</c:v>
                </c:pt>
                <c:pt idx="2">
                  <c:v>465.16961279999947</c:v>
                </c:pt>
                <c:pt idx="3">
                  <c:v>460.93185130000029</c:v>
                </c:pt>
                <c:pt idx="4">
                  <c:v>458.16258079999972</c:v>
                </c:pt>
                <c:pt idx="5">
                  <c:v>456.73706249999998</c:v>
                </c:pt>
                <c:pt idx="6">
                  <c:v>456.53524479999965</c:v>
                </c:pt>
                <c:pt idx="7">
                  <c:v>457.44176330000016</c:v>
                </c:pt>
                <c:pt idx="8">
                  <c:v>459.34594079999965</c:v>
                </c:pt>
                <c:pt idx="9">
                  <c:v>462.14178730000032</c:v>
                </c:pt>
                <c:pt idx="10">
                  <c:v>465.72799999999904</c:v>
                </c:pt>
                <c:pt idx="11">
                  <c:v>470.00796330000026</c:v>
                </c:pt>
                <c:pt idx="12">
                  <c:v>474.88974879999955</c:v>
                </c:pt>
                <c:pt idx="13">
                  <c:v>480.28611530000074</c:v>
                </c:pt>
                <c:pt idx="14">
                  <c:v>486.11450880000041</c:v>
                </c:pt>
                <c:pt idx="15">
                  <c:v>492.29706249999981</c:v>
                </c:pt>
                <c:pt idx="16">
                  <c:v>498.76059679999986</c:v>
                </c:pt>
                <c:pt idx="17">
                  <c:v>505.43661930000047</c:v>
                </c:pt>
                <c:pt idx="18">
                  <c:v>512.2613247999999</c:v>
                </c:pt>
                <c:pt idx="19">
                  <c:v>519.17559529999903</c:v>
                </c:pt>
                <c:pt idx="20">
                  <c:v>526.12499999999955</c:v>
                </c:pt>
                <c:pt idx="21">
                  <c:v>533.05979530000047</c:v>
                </c:pt>
                <c:pt idx="22">
                  <c:v>539.93492480000089</c:v>
                </c:pt>
                <c:pt idx="23">
                  <c:v>546.71001929999943</c:v>
                </c:pt>
                <c:pt idx="24">
                  <c:v>553.34939680000093</c:v>
                </c:pt>
                <c:pt idx="25">
                  <c:v>559.82206250000013</c:v>
                </c:pt>
                <c:pt idx="26">
                  <c:v>566.10170879999976</c:v>
                </c:pt>
                <c:pt idx="27">
                  <c:v>572.16671530000076</c:v>
                </c:pt>
                <c:pt idx="28">
                  <c:v>578.00014879999924</c:v>
                </c:pt>
                <c:pt idx="29">
                  <c:v>583.58976330000132</c:v>
                </c:pt>
                <c:pt idx="30">
                  <c:v>588.92800000000057</c:v>
                </c:pt>
                <c:pt idx="31">
                  <c:v>594.0119873000009</c:v>
                </c:pt>
                <c:pt idx="32">
                  <c:v>598.84354080000082</c:v>
                </c:pt>
                <c:pt idx="33">
                  <c:v>603.42916330000037</c:v>
                </c:pt>
                <c:pt idx="34">
                  <c:v>607.78004479999879</c:v>
                </c:pt>
                <c:pt idx="35">
                  <c:v>611.9120625000005</c:v>
                </c:pt>
                <c:pt idx="36">
                  <c:v>615.84578080000176</c:v>
                </c:pt>
                <c:pt idx="37">
                  <c:v>619.60645130000012</c:v>
                </c:pt>
                <c:pt idx="38">
                  <c:v>623.22401279999974</c:v>
                </c:pt>
                <c:pt idx="39">
                  <c:v>626.733091300002</c:v>
                </c:pt>
                <c:pt idx="40">
                  <c:v>630.17300000000012</c:v>
                </c:pt>
                <c:pt idx="41">
                  <c:v>633.58773929999847</c:v>
                </c:pt>
                <c:pt idx="42">
                  <c:v>637.02599679999844</c:v>
                </c:pt>
                <c:pt idx="43">
                  <c:v>640.54114730000128</c:v>
                </c:pt>
                <c:pt idx="44">
                  <c:v>644.1912527999998</c:v>
                </c:pt>
                <c:pt idx="45">
                  <c:v>648.03906250000227</c:v>
                </c:pt>
                <c:pt idx="46">
                  <c:v>652.1520127999994</c:v>
                </c:pt>
                <c:pt idx="47">
                  <c:v>656.60222730000226</c:v>
                </c:pt>
                <c:pt idx="48">
                  <c:v>661.46651680000093</c:v>
                </c:pt>
                <c:pt idx="49">
                  <c:v>666.82637929999805</c:v>
                </c:pt>
                <c:pt idx="50">
                  <c:v>672.76799999999776</c:v>
                </c:pt>
                <c:pt idx="51">
                  <c:v>679.38225129999807</c:v>
                </c:pt>
                <c:pt idx="52">
                  <c:v>686.7646928000006</c:v>
                </c:pt>
                <c:pt idx="53">
                  <c:v>695.01557129999901</c:v>
                </c:pt>
                <c:pt idx="54">
                  <c:v>704.23982079999985</c:v>
                </c:pt>
                <c:pt idx="55">
                  <c:v>714.54706249999947</c:v>
                </c:pt>
                <c:pt idx="56">
                  <c:v>726.05160480000029</c:v>
                </c:pt>
                <c:pt idx="57">
                  <c:v>738.87244330000181</c:v>
                </c:pt>
                <c:pt idx="58">
                  <c:v>753.13326080000388</c:v>
                </c:pt>
                <c:pt idx="59">
                  <c:v>768.96242729999642</c:v>
                </c:pt>
                <c:pt idx="60">
                  <c:v>786.49300000000017</c:v>
                </c:pt>
                <c:pt idx="61">
                  <c:v>805.86272330000418</c:v>
                </c:pt>
                <c:pt idx="62">
                  <c:v>827.2140288000021</c:v>
                </c:pt>
                <c:pt idx="63">
                  <c:v>850.69403530000363</c:v>
                </c:pt>
                <c:pt idx="64">
                  <c:v>876.45454880000352</c:v>
                </c:pt>
                <c:pt idx="65">
                  <c:v>904.6520625000021</c:v>
                </c:pt>
                <c:pt idx="66">
                  <c:v>935.44775680000214</c:v>
                </c:pt>
                <c:pt idx="67">
                  <c:v>969.00749929999461</c:v>
                </c:pt>
                <c:pt idx="68">
                  <c:v>1005.5018447999977</c:v>
                </c:pt>
                <c:pt idx="69">
                  <c:v>1045.1060353000053</c:v>
                </c:pt>
                <c:pt idx="70">
                  <c:v>1088.0000000000009</c:v>
                </c:pt>
                <c:pt idx="71">
                  <c:v>1134.3683552999942</c:v>
                </c:pt>
                <c:pt idx="72">
                  <c:v>1184.4004047999981</c:v>
                </c:pt>
                <c:pt idx="73">
                  <c:v>1238.2901392999984</c:v>
                </c:pt>
                <c:pt idx="74">
                  <c:v>1255.2388879571304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D5-4655-8A20-ECCB2FBBC2A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Cp!$E$4:$E$21</c:f>
              <c:numCache>
                <c:formatCode>General</c:formatCode>
                <c:ptCount val="18"/>
                <c:pt idx="0">
                  <c:v>1033</c:v>
                </c:pt>
                <c:pt idx="1">
                  <c:v>1040</c:v>
                </c:pt>
                <c:pt idx="2">
                  <c:v>1050</c:v>
                </c:pt>
                <c:pt idx="3">
                  <c:v>1060</c:v>
                </c:pt>
                <c:pt idx="4">
                  <c:v>1070</c:v>
                </c:pt>
                <c:pt idx="5">
                  <c:v>1080</c:v>
                </c:pt>
                <c:pt idx="6">
                  <c:v>1090</c:v>
                </c:pt>
                <c:pt idx="7">
                  <c:v>1100</c:v>
                </c:pt>
                <c:pt idx="8">
                  <c:v>1110</c:v>
                </c:pt>
                <c:pt idx="9">
                  <c:v>1120</c:v>
                </c:pt>
                <c:pt idx="10">
                  <c:v>1130</c:v>
                </c:pt>
                <c:pt idx="11">
                  <c:v>1140</c:v>
                </c:pt>
                <c:pt idx="12">
                  <c:v>1150</c:v>
                </c:pt>
                <c:pt idx="13">
                  <c:v>1160</c:v>
                </c:pt>
                <c:pt idx="14">
                  <c:v>1170</c:v>
                </c:pt>
                <c:pt idx="15">
                  <c:v>1180</c:v>
                </c:pt>
                <c:pt idx="16">
                  <c:v>1190</c:v>
                </c:pt>
                <c:pt idx="17">
                  <c:v>1200</c:v>
                </c:pt>
              </c:numCache>
            </c:numRef>
          </c:xVal>
          <c:yVal>
            <c:numRef>
              <c:f>Cp!$F$4:$F$21</c:f>
              <c:numCache>
                <c:formatCode>0.00</c:formatCode>
                <c:ptCount val="18"/>
                <c:pt idx="0">
                  <c:v>1127.9800264285511</c:v>
                </c:pt>
                <c:pt idx="1">
                  <c:v>1101.1090073600001</c:v>
                </c:pt>
                <c:pt idx="2">
                  <c:v>1063.9729437499993</c:v>
                </c:pt>
                <c:pt idx="3">
                  <c:v>1028.3395537599997</c:v>
                </c:pt>
                <c:pt idx="4">
                  <c:v>994.24327030999996</c:v>
                </c:pt>
                <c:pt idx="5">
                  <c:v>961.71877375999998</c:v>
                </c:pt>
                <c:pt idx="6">
                  <c:v>930.80099191000068</c:v>
                </c:pt>
                <c:pt idx="7">
                  <c:v>901.52510000000018</c:v>
                </c:pt>
                <c:pt idx="8">
                  <c:v>873.92652070999975</c:v>
                </c:pt>
                <c:pt idx="9">
                  <c:v>848.04092416000003</c:v>
                </c:pt>
                <c:pt idx="10">
                  <c:v>823.90422790999969</c:v>
                </c:pt>
                <c:pt idx="11">
                  <c:v>801.55259695999996</c:v>
                </c:pt>
                <c:pt idx="12">
                  <c:v>781.0224437499993</c:v>
                </c:pt>
                <c:pt idx="13">
                  <c:v>762.35042815999998</c:v>
                </c:pt>
                <c:pt idx="14">
                  <c:v>745.57345750999991</c:v>
                </c:pt>
                <c:pt idx="15">
                  <c:v>730.72868656000026</c:v>
                </c:pt>
                <c:pt idx="16">
                  <c:v>717.85351751000007</c:v>
                </c:pt>
                <c:pt idx="17">
                  <c:v>706.98560000000077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D5-4655-8A20-ECCB2FBBC2A3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Cp!$H$4:$H$35</c:f>
              <c:numCache>
                <c:formatCode>General</c:formatCode>
                <c:ptCount val="32"/>
                <c:pt idx="0">
                  <c:v>1200</c:v>
                </c:pt>
                <c:pt idx="1">
                  <c:v>1210</c:v>
                </c:pt>
                <c:pt idx="2">
                  <c:v>1220</c:v>
                </c:pt>
                <c:pt idx="3">
                  <c:v>1230</c:v>
                </c:pt>
                <c:pt idx="4">
                  <c:v>1240</c:v>
                </c:pt>
                <c:pt idx="5">
                  <c:v>1250</c:v>
                </c:pt>
                <c:pt idx="6">
                  <c:v>1260</c:v>
                </c:pt>
                <c:pt idx="7">
                  <c:v>1270</c:v>
                </c:pt>
                <c:pt idx="8">
                  <c:v>1280</c:v>
                </c:pt>
                <c:pt idx="9">
                  <c:v>1290</c:v>
                </c:pt>
                <c:pt idx="10">
                  <c:v>1300</c:v>
                </c:pt>
                <c:pt idx="11">
                  <c:v>1310</c:v>
                </c:pt>
                <c:pt idx="12">
                  <c:v>1320</c:v>
                </c:pt>
                <c:pt idx="13">
                  <c:v>1330</c:v>
                </c:pt>
                <c:pt idx="14">
                  <c:v>1340</c:v>
                </c:pt>
                <c:pt idx="15">
                  <c:v>1350</c:v>
                </c:pt>
                <c:pt idx="16">
                  <c:v>1360</c:v>
                </c:pt>
                <c:pt idx="17">
                  <c:v>1370</c:v>
                </c:pt>
                <c:pt idx="18">
                  <c:v>1380</c:v>
                </c:pt>
                <c:pt idx="19">
                  <c:v>1390</c:v>
                </c:pt>
                <c:pt idx="20">
                  <c:v>1400</c:v>
                </c:pt>
                <c:pt idx="21">
                  <c:v>1410</c:v>
                </c:pt>
                <c:pt idx="22">
                  <c:v>1420</c:v>
                </c:pt>
                <c:pt idx="23">
                  <c:v>1430</c:v>
                </c:pt>
                <c:pt idx="24">
                  <c:v>1440</c:v>
                </c:pt>
                <c:pt idx="25">
                  <c:v>1450</c:v>
                </c:pt>
                <c:pt idx="26">
                  <c:v>1460</c:v>
                </c:pt>
                <c:pt idx="27">
                  <c:v>1470</c:v>
                </c:pt>
                <c:pt idx="28">
                  <c:v>1480</c:v>
                </c:pt>
                <c:pt idx="29">
                  <c:v>1490</c:v>
                </c:pt>
                <c:pt idx="30">
                  <c:v>1500</c:v>
                </c:pt>
                <c:pt idx="31">
                  <c:v>1503</c:v>
                </c:pt>
              </c:numCache>
            </c:numRef>
          </c:xVal>
          <c:yVal>
            <c:numRef>
              <c:f>Cp!$I$4:$I$35</c:f>
              <c:numCache>
                <c:formatCode>0.00</c:formatCode>
                <c:ptCount val="32"/>
                <c:pt idx="0">
                  <c:v>703</c:v>
                </c:pt>
                <c:pt idx="1">
                  <c:v>703</c:v>
                </c:pt>
                <c:pt idx="2">
                  <c:v>703</c:v>
                </c:pt>
                <c:pt idx="3">
                  <c:v>703</c:v>
                </c:pt>
                <c:pt idx="4">
                  <c:v>703</c:v>
                </c:pt>
                <c:pt idx="5">
                  <c:v>703</c:v>
                </c:pt>
                <c:pt idx="6">
                  <c:v>703</c:v>
                </c:pt>
                <c:pt idx="7">
                  <c:v>703</c:v>
                </c:pt>
                <c:pt idx="8">
                  <c:v>703</c:v>
                </c:pt>
                <c:pt idx="9">
                  <c:v>703</c:v>
                </c:pt>
                <c:pt idx="10">
                  <c:v>703</c:v>
                </c:pt>
                <c:pt idx="11">
                  <c:v>703</c:v>
                </c:pt>
                <c:pt idx="12">
                  <c:v>703</c:v>
                </c:pt>
                <c:pt idx="13">
                  <c:v>703</c:v>
                </c:pt>
                <c:pt idx="14">
                  <c:v>703</c:v>
                </c:pt>
                <c:pt idx="15">
                  <c:v>703</c:v>
                </c:pt>
                <c:pt idx="16">
                  <c:v>703</c:v>
                </c:pt>
                <c:pt idx="17">
                  <c:v>703</c:v>
                </c:pt>
                <c:pt idx="18">
                  <c:v>703</c:v>
                </c:pt>
                <c:pt idx="19">
                  <c:v>703</c:v>
                </c:pt>
                <c:pt idx="20">
                  <c:v>703</c:v>
                </c:pt>
                <c:pt idx="21">
                  <c:v>703</c:v>
                </c:pt>
                <c:pt idx="22">
                  <c:v>703</c:v>
                </c:pt>
                <c:pt idx="23">
                  <c:v>703</c:v>
                </c:pt>
                <c:pt idx="24">
                  <c:v>703</c:v>
                </c:pt>
                <c:pt idx="25">
                  <c:v>703</c:v>
                </c:pt>
                <c:pt idx="26">
                  <c:v>703</c:v>
                </c:pt>
                <c:pt idx="27">
                  <c:v>703</c:v>
                </c:pt>
                <c:pt idx="28">
                  <c:v>703</c:v>
                </c:pt>
                <c:pt idx="29">
                  <c:v>703</c:v>
                </c:pt>
                <c:pt idx="30">
                  <c:v>703</c:v>
                </c:pt>
                <c:pt idx="31">
                  <c:v>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D5-4655-8A20-ECCB2FBBC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113024"/>
        <c:axId val="160114560"/>
      </c:scatterChart>
      <c:valAx>
        <c:axId val="160113024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600"/>
                </a:pPr>
                <a:r>
                  <a:rPr lang="pt-BR" sz="1600"/>
                  <a:t>Temperatura (K)</a:t>
                </a:r>
              </a:p>
            </c:rich>
          </c:tx>
          <c:overlay val="0"/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114560"/>
        <c:crosses val="autoZero"/>
        <c:crossBetween val="midCat"/>
        <c:majorUnit val="100"/>
      </c:valAx>
      <c:valAx>
        <c:axId val="160114560"/>
        <c:scaling>
          <c:orientation val="minMax"/>
          <c:min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600"/>
                </a:pPr>
                <a:r>
                  <a:rPr lang="pt-BR" sz="1600"/>
                  <a:t>Calor específico (J/kg.K)</a:t>
                </a:r>
              </a:p>
            </c:rich>
          </c:tx>
          <c:layout>
            <c:manualLayout>
              <c:xMode val="edge"/>
              <c:yMode val="edge"/>
              <c:x val="1.1753643629525154E-2"/>
              <c:y val="0.30345888292625839"/>
            </c:manualLayout>
          </c:layout>
          <c:overlay val="0"/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011302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Condutividade térmica do aço AISI 1018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035999999999999"/>
          <c:y val="9.5459548611111111E-2"/>
          <c:w val="0.8476312962962963"/>
          <c:h val="0.75645798611111115"/>
        </c:manualLayout>
      </c:layout>
      <c:scatterChart>
        <c:scatterStyle val="lineMarker"/>
        <c:varyColors val="0"/>
        <c:ser>
          <c:idx val="0"/>
          <c:order val="0"/>
          <c:tx>
            <c:strRef>
              <c:f>k!$C$2</c:f>
              <c:strCache>
                <c:ptCount val="1"/>
                <c:pt idx="0">
                  <c:v>k(W/m.K)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k!$B$3:$B$123</c:f>
              <c:numCache>
                <c:formatCode>General</c:formatCode>
                <c:ptCount val="12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  <c:pt idx="71">
                  <c:v>1010</c:v>
                </c:pt>
                <c:pt idx="72">
                  <c:v>1020</c:v>
                </c:pt>
                <c:pt idx="73">
                  <c:v>1030</c:v>
                </c:pt>
                <c:pt idx="74">
                  <c:v>1040</c:v>
                </c:pt>
                <c:pt idx="75">
                  <c:v>1050</c:v>
                </c:pt>
                <c:pt idx="76">
                  <c:v>1060</c:v>
                </c:pt>
                <c:pt idx="77">
                  <c:v>1070</c:v>
                </c:pt>
                <c:pt idx="78">
                  <c:v>1080</c:v>
                </c:pt>
                <c:pt idx="79">
                  <c:v>1090</c:v>
                </c:pt>
                <c:pt idx="80">
                  <c:v>1100</c:v>
                </c:pt>
                <c:pt idx="81">
                  <c:v>1110</c:v>
                </c:pt>
                <c:pt idx="82">
                  <c:v>1120</c:v>
                </c:pt>
                <c:pt idx="83">
                  <c:v>1130</c:v>
                </c:pt>
                <c:pt idx="84">
                  <c:v>1140</c:v>
                </c:pt>
                <c:pt idx="85">
                  <c:v>1150</c:v>
                </c:pt>
                <c:pt idx="86">
                  <c:v>1160</c:v>
                </c:pt>
                <c:pt idx="87">
                  <c:v>1170</c:v>
                </c:pt>
                <c:pt idx="88">
                  <c:v>1180</c:v>
                </c:pt>
                <c:pt idx="89">
                  <c:v>1190</c:v>
                </c:pt>
                <c:pt idx="90">
                  <c:v>1200</c:v>
                </c:pt>
                <c:pt idx="91">
                  <c:v>1210</c:v>
                </c:pt>
                <c:pt idx="92">
                  <c:v>1220</c:v>
                </c:pt>
                <c:pt idx="93">
                  <c:v>1230</c:v>
                </c:pt>
                <c:pt idx="94">
                  <c:v>1240</c:v>
                </c:pt>
                <c:pt idx="95">
                  <c:v>1250</c:v>
                </c:pt>
                <c:pt idx="96">
                  <c:v>1260</c:v>
                </c:pt>
                <c:pt idx="97">
                  <c:v>1270</c:v>
                </c:pt>
                <c:pt idx="98">
                  <c:v>1280</c:v>
                </c:pt>
                <c:pt idx="99">
                  <c:v>1290</c:v>
                </c:pt>
                <c:pt idx="100">
                  <c:v>1300</c:v>
                </c:pt>
                <c:pt idx="101">
                  <c:v>1310</c:v>
                </c:pt>
                <c:pt idx="102">
                  <c:v>1320</c:v>
                </c:pt>
                <c:pt idx="103">
                  <c:v>1330</c:v>
                </c:pt>
                <c:pt idx="104">
                  <c:v>1340</c:v>
                </c:pt>
                <c:pt idx="105">
                  <c:v>1350</c:v>
                </c:pt>
                <c:pt idx="106">
                  <c:v>1360</c:v>
                </c:pt>
                <c:pt idx="107">
                  <c:v>1370</c:v>
                </c:pt>
                <c:pt idx="108">
                  <c:v>1380</c:v>
                </c:pt>
                <c:pt idx="109">
                  <c:v>1390</c:v>
                </c:pt>
                <c:pt idx="110">
                  <c:v>1400</c:v>
                </c:pt>
                <c:pt idx="111">
                  <c:v>1410</c:v>
                </c:pt>
                <c:pt idx="112">
                  <c:v>1420</c:v>
                </c:pt>
                <c:pt idx="113">
                  <c:v>1430</c:v>
                </c:pt>
                <c:pt idx="114">
                  <c:v>1440</c:v>
                </c:pt>
                <c:pt idx="115">
                  <c:v>1450</c:v>
                </c:pt>
                <c:pt idx="116">
                  <c:v>1460</c:v>
                </c:pt>
                <c:pt idx="117">
                  <c:v>1470</c:v>
                </c:pt>
                <c:pt idx="118">
                  <c:v>1480</c:v>
                </c:pt>
                <c:pt idx="119">
                  <c:v>1490</c:v>
                </c:pt>
                <c:pt idx="120">
                  <c:v>1500</c:v>
                </c:pt>
              </c:numCache>
            </c:numRef>
          </c:xVal>
          <c:yVal>
            <c:numRef>
              <c:f>k!$C$3:$C$123</c:f>
              <c:numCache>
                <c:formatCode>0.00</c:formatCode>
                <c:ptCount val="121"/>
                <c:pt idx="0">
                  <c:v>62.213678999999992</c:v>
                </c:pt>
                <c:pt idx="1">
                  <c:v>61.845526263899998</c:v>
                </c:pt>
                <c:pt idx="2">
                  <c:v>61.467160038399996</c:v>
                </c:pt>
                <c:pt idx="3">
                  <c:v>61.079184423900003</c:v>
                </c:pt>
                <c:pt idx="4">
                  <c:v>60.682196222399988</c:v>
                </c:pt>
                <c:pt idx="5">
                  <c:v>60.276784937500004</c:v>
                </c:pt>
                <c:pt idx="6">
                  <c:v>59.863532774399992</c:v>
                </c:pt>
                <c:pt idx="7">
                  <c:v>59.443014639900007</c:v>
                </c:pt>
                <c:pt idx="8">
                  <c:v>59.015798142400001</c:v>
                </c:pt>
                <c:pt idx="9">
                  <c:v>58.582443591899988</c:v>
                </c:pt>
                <c:pt idx="10">
                  <c:v>58.143504</c:v>
                </c:pt>
                <c:pt idx="11">
                  <c:v>57.699525079899999</c:v>
                </c:pt>
                <c:pt idx="12">
                  <c:v>57.251045246400004</c:v>
                </c:pt>
                <c:pt idx="13">
                  <c:v>56.798595615899991</c:v>
                </c:pt>
                <c:pt idx="14">
                  <c:v>56.342700006399994</c:v>
                </c:pt>
                <c:pt idx="15">
                  <c:v>55.883874937500003</c:v>
                </c:pt>
                <c:pt idx="16">
                  <c:v>55.42262963040001</c:v>
                </c:pt>
                <c:pt idx="17">
                  <c:v>54.959466007900005</c:v>
                </c:pt>
                <c:pt idx="18">
                  <c:v>54.494878694399986</c:v>
                </c:pt>
                <c:pt idx="19">
                  <c:v>54.029355015900002</c:v>
                </c:pt>
                <c:pt idx="20">
                  <c:v>53.563375000000001</c:v>
                </c:pt>
                <c:pt idx="21">
                  <c:v>53.097411375900002</c:v>
                </c:pt>
                <c:pt idx="22">
                  <c:v>52.63192957439999</c:v>
                </c:pt>
                <c:pt idx="23">
                  <c:v>52.1673877279</c:v>
                </c:pt>
                <c:pt idx="24">
                  <c:v>51.7042366704</c:v>
                </c:pt>
                <c:pt idx="25">
                  <c:v>51.242919937500005</c:v>
                </c:pt>
                <c:pt idx="26">
                  <c:v>50.783873766400006</c:v>
                </c:pt>
                <c:pt idx="27">
                  <c:v>50.327527095899995</c:v>
                </c:pt>
                <c:pt idx="28">
                  <c:v>49.874301566399993</c:v>
                </c:pt>
                <c:pt idx="29">
                  <c:v>49.424611519900004</c:v>
                </c:pt>
                <c:pt idx="30">
                  <c:v>48.978863999999987</c:v>
                </c:pt>
                <c:pt idx="31">
                  <c:v>48.53745875189999</c:v>
                </c:pt>
                <c:pt idx="32">
                  <c:v>48.100788222399999</c:v>
                </c:pt>
                <c:pt idx="33">
                  <c:v>47.669237559899997</c:v>
                </c:pt>
                <c:pt idx="34">
                  <c:v>47.2431846144</c:v>
                </c:pt>
                <c:pt idx="35">
                  <c:v>46.822999937500001</c:v>
                </c:pt>
                <c:pt idx="36">
                  <c:v>46.409046782399997</c:v>
                </c:pt>
                <c:pt idx="37">
                  <c:v>46.00168110389999</c:v>
                </c:pt>
                <c:pt idx="38">
                  <c:v>45.601251558399987</c:v>
                </c:pt>
                <c:pt idx="39">
                  <c:v>45.208099503899987</c:v>
                </c:pt>
                <c:pt idx="40">
                  <c:v>44.822558999999984</c:v>
                </c:pt>
                <c:pt idx="41">
                  <c:v>44.444956807899992</c:v>
                </c:pt>
                <c:pt idx="42">
                  <c:v>44.075612390399989</c:v>
                </c:pt>
                <c:pt idx="43">
                  <c:v>43.714837911899998</c:v>
                </c:pt>
                <c:pt idx="44">
                  <c:v>43.362938238399998</c:v>
                </c:pt>
                <c:pt idx="45">
                  <c:v>43.020210937499982</c:v>
                </c:pt>
                <c:pt idx="46">
                  <c:v>42.686946278399986</c:v>
                </c:pt>
                <c:pt idx="47">
                  <c:v>42.363427231899998</c:v>
                </c:pt>
                <c:pt idx="48">
                  <c:v>42.049929470399981</c:v>
                </c:pt>
                <c:pt idx="49">
                  <c:v>41.746721367899987</c:v>
                </c:pt>
                <c:pt idx="50">
                  <c:v>41.454063999999995</c:v>
                </c:pt>
                <c:pt idx="51">
                  <c:v>41.172211143899986</c:v>
                </c:pt>
                <c:pt idx="52">
                  <c:v>40.901409278399996</c:v>
                </c:pt>
                <c:pt idx="53">
                  <c:v>40.641897583900011</c:v>
                </c:pt>
                <c:pt idx="54">
                  <c:v>40.393907942399991</c:v>
                </c:pt>
                <c:pt idx="55">
                  <c:v>40.157664937499987</c:v>
                </c:pt>
                <c:pt idx="56">
                  <c:v>39.933385854400001</c:v>
                </c:pt>
                <c:pt idx="57">
                  <c:v>39.721280679899984</c:v>
                </c:pt>
                <c:pt idx="58">
                  <c:v>39.52155210239998</c:v>
                </c:pt>
                <c:pt idx="59">
                  <c:v>39.334395511899984</c:v>
                </c:pt>
                <c:pt idx="60">
                  <c:v>39.159998999999999</c:v>
                </c:pt>
                <c:pt idx="61">
                  <c:v>38.998543359899983</c:v>
                </c:pt>
                <c:pt idx="62">
                  <c:v>38.85020208640001</c:v>
                </c:pt>
                <c:pt idx="63">
                  <c:v>38.715141375899975</c:v>
                </c:pt>
                <c:pt idx="64">
                  <c:v>38.593520126399994</c:v>
                </c:pt>
                <c:pt idx="65">
                  <c:v>38.485489937500006</c:v>
                </c:pt>
                <c:pt idx="66">
                  <c:v>38.391195110399977</c:v>
                </c:pt>
                <c:pt idx="67">
                  <c:v>38.310772647899988</c:v>
                </c:pt>
                <c:pt idx="68">
                  <c:v>38.244352254399992</c:v>
                </c:pt>
                <c:pt idx="69">
                  <c:v>38.192056335899977</c:v>
                </c:pt>
                <c:pt idx="70">
                  <c:v>38.153999999999996</c:v>
                </c:pt>
                <c:pt idx="71">
                  <c:v>38.130291055900003</c:v>
                </c:pt>
                <c:pt idx="72">
                  <c:v>38.121030014399977</c:v>
                </c:pt>
                <c:pt idx="73">
                  <c:v>38.126310087899995</c:v>
                </c:pt>
                <c:pt idx="74">
                  <c:v>38.146217190399966</c:v>
                </c:pt>
                <c:pt idx="75">
                  <c:v>38.180829937499993</c:v>
                </c:pt>
                <c:pt idx="76">
                  <c:v>38.230219646399988</c:v>
                </c:pt>
                <c:pt idx="77">
                  <c:v>38.294450335899967</c:v>
                </c:pt>
                <c:pt idx="78">
                  <c:v>38.373578726399998</c:v>
                </c:pt>
                <c:pt idx="79">
                  <c:v>38.467654239899979</c:v>
                </c:pt>
                <c:pt idx="80">
                  <c:v>38.57671899999999</c:v>
                </c:pt>
                <c:pt idx="81">
                  <c:v>38.700807831899986</c:v>
                </c:pt>
                <c:pt idx="82">
                  <c:v>38.839948262399993</c:v>
                </c:pt>
                <c:pt idx="83">
                  <c:v>38.994160519899985</c:v>
                </c:pt>
                <c:pt idx="84">
                  <c:v>39.16345753439996</c:v>
                </c:pt>
                <c:pt idx="85">
                  <c:v>39.347844937499964</c:v>
                </c:pt>
                <c:pt idx="86">
                  <c:v>39.54732106239998</c:v>
                </c:pt>
                <c:pt idx="87">
                  <c:v>39.761876943899978</c:v>
                </c:pt>
                <c:pt idx="88">
                  <c:v>39.991496318399989</c:v>
                </c:pt>
                <c:pt idx="89">
                  <c:v>40.236155623899975</c:v>
                </c:pt>
                <c:pt idx="90">
                  <c:v>40.495823999999999</c:v>
                </c:pt>
                <c:pt idx="91">
                  <c:v>40.770463287899958</c:v>
                </c:pt>
                <c:pt idx="92">
                  <c:v>41.060028030399963</c:v>
                </c:pt>
                <c:pt idx="93">
                  <c:v>41.364465471899976</c:v>
                </c:pt>
                <c:pt idx="94">
                  <c:v>41.683715558399996</c:v>
                </c:pt>
                <c:pt idx="95">
                  <c:v>42.017710937499999</c:v>
                </c:pt>
                <c:pt idx="96">
                  <c:v>42.366376958399997</c:v>
                </c:pt>
                <c:pt idx="97">
                  <c:v>42.729631671899966</c:v>
                </c:pt>
                <c:pt idx="98">
                  <c:v>43.107385830399991</c:v>
                </c:pt>
                <c:pt idx="99">
                  <c:v>43.499542887900006</c:v>
                </c:pt>
                <c:pt idx="100">
                  <c:v>43.90599899999998</c:v>
                </c:pt>
                <c:pt idx="101">
                  <c:v>44.326643023899976</c:v>
                </c:pt>
                <c:pt idx="102">
                  <c:v>44.761356518399978</c:v>
                </c:pt>
                <c:pt idx="103">
                  <c:v>45.210013743899935</c:v>
                </c:pt>
                <c:pt idx="104">
                  <c:v>45.672481662399932</c:v>
                </c:pt>
                <c:pt idx="105">
                  <c:v>46.148619937500015</c:v>
                </c:pt>
                <c:pt idx="106">
                  <c:v>46.63828093439993</c:v>
                </c:pt>
                <c:pt idx="107">
                  <c:v>47.141309719899937</c:v>
                </c:pt>
                <c:pt idx="108">
                  <c:v>47.657544062399936</c:v>
                </c:pt>
                <c:pt idx="109">
                  <c:v>48.186814431899904</c:v>
                </c:pt>
                <c:pt idx="110">
                  <c:v>48.728943999999899</c:v>
                </c:pt>
                <c:pt idx="111">
                  <c:v>49.283748639899898</c:v>
                </c:pt>
                <c:pt idx="112">
                  <c:v>49.851036926399971</c:v>
                </c:pt>
                <c:pt idx="113">
                  <c:v>50.430610135899983</c:v>
                </c:pt>
                <c:pt idx="114">
                  <c:v>51.022262246399947</c:v>
                </c:pt>
                <c:pt idx="115">
                  <c:v>51.625779937499999</c:v>
                </c:pt>
                <c:pt idx="116">
                  <c:v>52.240942590399953</c:v>
                </c:pt>
                <c:pt idx="117">
                  <c:v>52.867522287899988</c:v>
                </c:pt>
                <c:pt idx="118">
                  <c:v>53.505283814399974</c:v>
                </c:pt>
                <c:pt idx="119">
                  <c:v>54.153984655899933</c:v>
                </c:pt>
                <c:pt idx="120">
                  <c:v>54.813374999999951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68-46B5-A039-CC92332B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901544"/>
        <c:axId val="640895640"/>
      </c:scatterChart>
      <c:valAx>
        <c:axId val="640901544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tx1"/>
                    </a:solidFill>
                  </a:rPr>
                  <a:t>Temperatura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0895640"/>
        <c:crosses val="autoZero"/>
        <c:crossBetween val="midCat"/>
        <c:majorUnit val="100"/>
      </c:valAx>
      <c:valAx>
        <c:axId val="640895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chemeClr val="tx1"/>
                    </a:solidFill>
                  </a:rPr>
                  <a:t>Condutividade térmica (W/m.K)</a:t>
                </a:r>
              </a:p>
            </c:rich>
          </c:tx>
          <c:layout>
            <c:manualLayout>
              <c:xMode val="edge"/>
              <c:yMode val="edge"/>
              <c:x val="1.5287037037037036E-2"/>
              <c:y val="0.239422048611111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090154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solidFill>
                  <a:schemeClr val="tx1"/>
                </a:solidFill>
              </a:rPr>
              <a:t>Emissividade do aço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317509259259259"/>
          <c:y val="0.10085052083333333"/>
          <c:w val="0.8548162037037037"/>
          <c:h val="0.75106701388888886"/>
        </c:manualLayout>
      </c:layout>
      <c:scatterChart>
        <c:scatterStyle val="lineMarker"/>
        <c:varyColors val="0"/>
        <c:ser>
          <c:idx val="0"/>
          <c:order val="0"/>
          <c:tx>
            <c:strRef>
              <c:f>Emissividade!$C$2</c:f>
              <c:strCache>
                <c:ptCount val="1"/>
                <c:pt idx="0">
                  <c:v>Emissividade do aço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4"/>
            <c:spPr>
              <a:solidFill>
                <a:schemeClr val="bg1"/>
              </a:solidFill>
              <a:ln w="25400">
                <a:solidFill>
                  <a:srgbClr val="FF0000"/>
                </a:solidFill>
              </a:ln>
              <a:effectLst/>
            </c:spPr>
          </c:marker>
          <c:xVal>
            <c:numRef>
              <c:f>Emissividade!$B$3:$B$8</c:f>
              <c:numCache>
                <c:formatCode>General</c:formatCode>
                <c:ptCount val="6"/>
                <c:pt idx="0">
                  <c:v>300</c:v>
                </c:pt>
                <c:pt idx="1">
                  <c:v>590</c:v>
                </c:pt>
                <c:pt idx="2">
                  <c:v>920</c:v>
                </c:pt>
                <c:pt idx="3">
                  <c:v>1090</c:v>
                </c:pt>
                <c:pt idx="4">
                  <c:v>1255</c:v>
                </c:pt>
                <c:pt idx="5">
                  <c:v>1500</c:v>
                </c:pt>
              </c:numCache>
            </c:numRef>
          </c:xVal>
          <c:yVal>
            <c:numRef>
              <c:f>Emissividade!$C$3:$C$8</c:f>
              <c:numCache>
                <c:formatCode>General</c:formatCode>
                <c:ptCount val="6"/>
                <c:pt idx="0">
                  <c:v>0.69</c:v>
                </c:pt>
                <c:pt idx="1">
                  <c:v>0.69</c:v>
                </c:pt>
                <c:pt idx="2">
                  <c:v>0.72</c:v>
                </c:pt>
                <c:pt idx="3">
                  <c:v>0.76</c:v>
                </c:pt>
                <c:pt idx="4">
                  <c:v>0.79</c:v>
                </c:pt>
                <c:pt idx="5">
                  <c:v>0.82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31-4566-AADC-14ED30761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906136"/>
        <c:axId val="640911712"/>
      </c:scatterChart>
      <c:valAx>
        <c:axId val="640906136"/>
        <c:scaling>
          <c:orientation val="minMax"/>
          <c:max val="15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800">
                    <a:solidFill>
                      <a:schemeClr val="tx1"/>
                    </a:solidFill>
                  </a:rPr>
                  <a:t>Temperatura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0911712"/>
        <c:crosses val="autoZero"/>
        <c:crossBetween val="midCat"/>
      </c:valAx>
      <c:valAx>
        <c:axId val="64091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600">
                    <a:solidFill>
                      <a:schemeClr val="tx1"/>
                    </a:solidFill>
                  </a:rPr>
                  <a:t>Emissividade </a:t>
                </a:r>
              </a:p>
            </c:rich>
          </c:tx>
          <c:layout>
            <c:manualLayout>
              <c:xMode val="edge"/>
              <c:yMode val="edge"/>
              <c:x val="1.6462962962962964E-2"/>
              <c:y val="0.377402256944444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0906136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Ponto 1 - X=0,25 m / Y = 0,15 m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'IndepMalha 200s'!$C$15</c:f>
              <c:strCache>
                <c:ptCount val="1"/>
                <c:pt idx="0">
                  <c:v>TDMA with ADI 241x241 - 200s</c:v>
                </c:pt>
              </c:strCache>
            </c:strRef>
          </c:tx>
          <c:marker>
            <c:symbol val="circle"/>
            <c:size val="9"/>
            <c:spPr>
              <a:solidFill>
                <a:schemeClr val="bg1"/>
              </a:solidFill>
              <a:ln w="22225"/>
            </c:spPr>
          </c:marker>
          <c:xVal>
            <c:numRef>
              <c:f>'IndepMalha 200s'!$B$24:$B$118</c:f>
              <c:numCache>
                <c:formatCode>General</c:formatCode>
                <c:ptCount val="95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200s'!$E$24:$E$118</c:f>
              <c:numCache>
                <c:formatCode>0.00</c:formatCode>
                <c:ptCount val="95"/>
                <c:pt idx="0">
                  <c:v>300</c:v>
                </c:pt>
                <c:pt idx="1">
                  <c:v>380.7432</c:v>
                </c:pt>
                <c:pt idx="2">
                  <c:v>455.66370000000001</c:v>
                </c:pt>
                <c:pt idx="3">
                  <c:v>520.10140000000001</c:v>
                </c:pt>
                <c:pt idx="4">
                  <c:v>576.83989999999994</c:v>
                </c:pt>
                <c:pt idx="5">
                  <c:v>627.91759999999999</c:v>
                </c:pt>
                <c:pt idx="6">
                  <c:v>661.41240000000005</c:v>
                </c:pt>
                <c:pt idx="7">
                  <c:v>729.14329999999995</c:v>
                </c:pt>
                <c:pt idx="8">
                  <c:v>793.7106</c:v>
                </c:pt>
                <c:pt idx="9">
                  <c:v>850.39599999999996</c:v>
                </c:pt>
                <c:pt idx="10">
                  <c:v>899.42349999999999</c:v>
                </c:pt>
                <c:pt idx="11">
                  <c:v>942.06299999999999</c:v>
                </c:pt>
                <c:pt idx="12">
                  <c:v>979.72090000000003</c:v>
                </c:pt>
                <c:pt idx="13">
                  <c:v>1013.8867</c:v>
                </c:pt>
                <c:pt idx="14">
                  <c:v>1046.2306000000001</c:v>
                </c:pt>
                <c:pt idx="15">
                  <c:v>1077.5347999999999</c:v>
                </c:pt>
                <c:pt idx="16">
                  <c:v>1096.106</c:v>
                </c:pt>
                <c:pt idx="17">
                  <c:v>1139.0695000000001</c:v>
                </c:pt>
                <c:pt idx="18">
                  <c:v>1183.3063999999999</c:v>
                </c:pt>
                <c:pt idx="19">
                  <c:v>1224.8515</c:v>
                </c:pt>
                <c:pt idx="20">
                  <c:v>1262.3612000000001</c:v>
                </c:pt>
                <c:pt idx="21">
                  <c:v>1295.5558000000001</c:v>
                </c:pt>
                <c:pt idx="22">
                  <c:v>1324.6627000000001</c:v>
                </c:pt>
                <c:pt idx="23">
                  <c:v>1350.0431000000001</c:v>
                </c:pt>
                <c:pt idx="24">
                  <c:v>1372.0736999999999</c:v>
                </c:pt>
                <c:pt idx="25">
                  <c:v>1391.0710999999999</c:v>
                </c:pt>
                <c:pt idx="26">
                  <c:v>1401.4784999999999</c:v>
                </c:pt>
                <c:pt idx="27">
                  <c:v>1417.4195</c:v>
                </c:pt>
                <c:pt idx="28">
                  <c:v>1431.0282999999999</c:v>
                </c:pt>
                <c:pt idx="29">
                  <c:v>1442.383</c:v>
                </c:pt>
                <c:pt idx="30">
                  <c:v>1451.8652</c:v>
                </c:pt>
                <c:pt idx="31">
                  <c:v>1459.835</c:v>
                </c:pt>
                <c:pt idx="32">
                  <c:v>1466.53</c:v>
                </c:pt>
                <c:pt idx="33">
                  <c:v>1472.1614999999999</c:v>
                </c:pt>
                <c:pt idx="34">
                  <c:v>1476.8983000000001</c:v>
                </c:pt>
                <c:pt idx="35">
                  <c:v>1480.9015999999999</c:v>
                </c:pt>
                <c:pt idx="36">
                  <c:v>1484.2773999999999</c:v>
                </c:pt>
                <c:pt idx="37">
                  <c:v>1487.1152999999999</c:v>
                </c:pt>
                <c:pt idx="38">
                  <c:v>1489.5101</c:v>
                </c:pt>
                <c:pt idx="39">
                  <c:v>1491.5415</c:v>
                </c:pt>
                <c:pt idx="40">
                  <c:v>1493.2548999999999</c:v>
                </c:pt>
                <c:pt idx="41">
                  <c:v>1494.6847</c:v>
                </c:pt>
                <c:pt idx="42">
                  <c:v>1495.9090000000001</c:v>
                </c:pt>
                <c:pt idx="43">
                  <c:v>1496.9238</c:v>
                </c:pt>
                <c:pt idx="44">
                  <c:v>1497.0309</c:v>
                </c:pt>
                <c:pt idx="45">
                  <c:v>1489.6908000000001</c:v>
                </c:pt>
                <c:pt idx="46">
                  <c:v>1481.8398</c:v>
                </c:pt>
                <c:pt idx="47">
                  <c:v>1475.0769</c:v>
                </c:pt>
                <c:pt idx="48">
                  <c:v>1469.2796000000001</c:v>
                </c:pt>
                <c:pt idx="49">
                  <c:v>1464.3062</c:v>
                </c:pt>
                <c:pt idx="50">
                  <c:v>1460.0137999999999</c:v>
                </c:pt>
                <c:pt idx="51">
                  <c:v>1456.3380999999999</c:v>
                </c:pt>
                <c:pt idx="52">
                  <c:v>1453.171</c:v>
                </c:pt>
                <c:pt idx="53">
                  <c:v>1450.4674</c:v>
                </c:pt>
                <c:pt idx="54">
                  <c:v>1448.1581000000001</c:v>
                </c:pt>
                <c:pt idx="55">
                  <c:v>1446.1802</c:v>
                </c:pt>
                <c:pt idx="56">
                  <c:v>1444.5051000000001</c:v>
                </c:pt>
                <c:pt idx="57">
                  <c:v>1443.0546999999999</c:v>
                </c:pt>
                <c:pt idx="58">
                  <c:v>1441.8361</c:v>
                </c:pt>
                <c:pt idx="59">
                  <c:v>1440.7796000000001</c:v>
                </c:pt>
                <c:pt idx="60">
                  <c:v>1439.8994</c:v>
                </c:pt>
                <c:pt idx="61">
                  <c:v>1439.1315</c:v>
                </c:pt>
                <c:pt idx="62">
                  <c:v>1438.4953</c:v>
                </c:pt>
                <c:pt idx="63">
                  <c:v>1437.931</c:v>
                </c:pt>
                <c:pt idx="64">
                  <c:v>1437.4621999999999</c:v>
                </c:pt>
                <c:pt idx="65">
                  <c:v>1437.0573999999999</c:v>
                </c:pt>
                <c:pt idx="66">
                  <c:v>1436.7139</c:v>
                </c:pt>
                <c:pt idx="67">
                  <c:v>1436.4297999999999</c:v>
                </c:pt>
                <c:pt idx="68">
                  <c:v>1436.1756</c:v>
                </c:pt>
                <c:pt idx="69">
                  <c:v>1435.9782</c:v>
                </c:pt>
                <c:pt idx="70">
                  <c:v>1435.7831000000001</c:v>
                </c:pt>
                <c:pt idx="71">
                  <c:v>1435.6433</c:v>
                </c:pt>
                <c:pt idx="72">
                  <c:v>1435.5047</c:v>
                </c:pt>
                <c:pt idx="73">
                  <c:v>1435.395</c:v>
                </c:pt>
                <c:pt idx="74">
                  <c:v>1435.3116</c:v>
                </c:pt>
                <c:pt idx="75">
                  <c:v>1435.2286999999999</c:v>
                </c:pt>
                <c:pt idx="76">
                  <c:v>1435.1463000000001</c:v>
                </c:pt>
                <c:pt idx="77">
                  <c:v>1435.0918999999999</c:v>
                </c:pt>
                <c:pt idx="78">
                  <c:v>1435.0377000000001</c:v>
                </c:pt>
                <c:pt idx="79">
                  <c:v>1434.9838</c:v>
                </c:pt>
                <c:pt idx="80">
                  <c:v>1434.9557</c:v>
                </c:pt>
                <c:pt idx="81">
                  <c:v>1434.9276</c:v>
                </c:pt>
                <c:pt idx="82">
                  <c:v>1434.8996</c:v>
                </c:pt>
                <c:pt idx="83">
                  <c:v>1434.8715999999999</c:v>
                </c:pt>
                <c:pt idx="84">
                  <c:v>1434.8436999999999</c:v>
                </c:pt>
                <c:pt idx="85">
                  <c:v>1434.8426999999999</c:v>
                </c:pt>
                <c:pt idx="86">
                  <c:v>1434.8416</c:v>
                </c:pt>
                <c:pt idx="87">
                  <c:v>1434.8406</c:v>
                </c:pt>
                <c:pt idx="88">
                  <c:v>1434.8395</c:v>
                </c:pt>
                <c:pt idx="89">
                  <c:v>1434.8385000000001</c:v>
                </c:pt>
                <c:pt idx="90">
                  <c:v>1434.8375000000001</c:v>
                </c:pt>
                <c:pt idx="91">
                  <c:v>1434.8363999999999</c:v>
                </c:pt>
                <c:pt idx="92">
                  <c:v>1434.8353999999999</c:v>
                </c:pt>
                <c:pt idx="93">
                  <c:v>1434.8343</c:v>
                </c:pt>
                <c:pt idx="94">
                  <c:v>1434.8333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0D-4EE6-B8B4-512234CF8FB2}"/>
            </c:ext>
          </c:extLst>
        </c:ser>
        <c:ser>
          <c:idx val="0"/>
          <c:order val="1"/>
          <c:tx>
            <c:strRef>
              <c:f>'IndepMalha 200s'!$K$15:$M$15</c:f>
              <c:strCache>
                <c:ptCount val="1"/>
                <c:pt idx="0">
                  <c:v>TDMA with ADI 121x121 - 200s</c:v>
                </c:pt>
              </c:strCache>
            </c:strRef>
          </c:tx>
          <c:xVal>
            <c:numRef>
              <c:f>'IndepMalha 200s'!$J$24:$J$118</c:f>
              <c:numCache>
                <c:formatCode>General</c:formatCode>
                <c:ptCount val="95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200s'!$M$24:$M$118</c:f>
              <c:numCache>
                <c:formatCode>0.00</c:formatCode>
                <c:ptCount val="95"/>
                <c:pt idx="0">
                  <c:v>300</c:v>
                </c:pt>
                <c:pt idx="1">
                  <c:v>383.44810000000001</c:v>
                </c:pt>
                <c:pt idx="2">
                  <c:v>460.55709999999999</c:v>
                </c:pt>
                <c:pt idx="3">
                  <c:v>526.86940000000004</c:v>
                </c:pt>
                <c:pt idx="4">
                  <c:v>585.28719999999998</c:v>
                </c:pt>
                <c:pt idx="5">
                  <c:v>637.90769999999998</c:v>
                </c:pt>
                <c:pt idx="6">
                  <c:v>672.41300000000001</c:v>
                </c:pt>
                <c:pt idx="7">
                  <c:v>740.94669999999996</c:v>
                </c:pt>
                <c:pt idx="8">
                  <c:v>805.88409999999999</c:v>
                </c:pt>
                <c:pt idx="9">
                  <c:v>862.5847</c:v>
                </c:pt>
                <c:pt idx="10">
                  <c:v>911.49710000000005</c:v>
                </c:pt>
                <c:pt idx="11">
                  <c:v>953.99180000000001</c:v>
                </c:pt>
                <c:pt idx="12">
                  <c:v>991.64800000000002</c:v>
                </c:pt>
                <c:pt idx="13">
                  <c:v>1026.2318</c:v>
                </c:pt>
                <c:pt idx="14">
                  <c:v>1059.5164</c:v>
                </c:pt>
                <c:pt idx="15">
                  <c:v>1092.1864</c:v>
                </c:pt>
                <c:pt idx="16">
                  <c:v>1111.7264</c:v>
                </c:pt>
                <c:pt idx="17">
                  <c:v>1156.502</c:v>
                </c:pt>
                <c:pt idx="18">
                  <c:v>1202.0503000000001</c:v>
                </c:pt>
                <c:pt idx="19">
                  <c:v>1244.0496000000001</c:v>
                </c:pt>
                <c:pt idx="20">
                  <c:v>1281.4104</c:v>
                </c:pt>
                <c:pt idx="21">
                  <c:v>1314.2878000000001</c:v>
                </c:pt>
                <c:pt idx="22">
                  <c:v>1343.0218</c:v>
                </c:pt>
                <c:pt idx="23">
                  <c:v>1367.9981</c:v>
                </c:pt>
                <c:pt idx="24">
                  <c:v>1389.5663</c:v>
                </c:pt>
                <c:pt idx="25">
                  <c:v>1408.1158</c:v>
                </c:pt>
                <c:pt idx="26">
                  <c:v>1418.2371000000001</c:v>
                </c:pt>
                <c:pt idx="27">
                  <c:v>1433.8231000000001</c:v>
                </c:pt>
                <c:pt idx="28">
                  <c:v>1446.9893999999999</c:v>
                </c:pt>
                <c:pt idx="29">
                  <c:v>1457.9076</c:v>
                </c:pt>
                <c:pt idx="30">
                  <c:v>1466.9908</c:v>
                </c:pt>
                <c:pt idx="31">
                  <c:v>1474.5685000000001</c:v>
                </c:pt>
                <c:pt idx="32">
                  <c:v>1480.9124999999999</c:v>
                </c:pt>
                <c:pt idx="33">
                  <c:v>1486.2245</c:v>
                </c:pt>
                <c:pt idx="34">
                  <c:v>1490.6895</c:v>
                </c:pt>
                <c:pt idx="35">
                  <c:v>1494.4472000000001</c:v>
                </c:pt>
                <c:pt idx="36">
                  <c:v>1497.6004</c:v>
                </c:pt>
                <c:pt idx="37">
                  <c:v>1500.2572</c:v>
                </c:pt>
                <c:pt idx="38">
                  <c:v>1502.4855</c:v>
                </c:pt>
                <c:pt idx="39">
                  <c:v>1504.3646000000001</c:v>
                </c:pt>
                <c:pt idx="40">
                  <c:v>1505.9381000000001</c:v>
                </c:pt>
                <c:pt idx="41">
                  <c:v>1507.2646</c:v>
                </c:pt>
                <c:pt idx="42">
                  <c:v>1508.3832</c:v>
                </c:pt>
                <c:pt idx="43">
                  <c:v>1509.3254999999999</c:v>
                </c:pt>
                <c:pt idx="44">
                  <c:v>1509.4237000000001</c:v>
                </c:pt>
                <c:pt idx="45">
                  <c:v>1498.6213</c:v>
                </c:pt>
                <c:pt idx="46">
                  <c:v>1487.7018</c:v>
                </c:pt>
                <c:pt idx="47">
                  <c:v>1478.2481</c:v>
                </c:pt>
                <c:pt idx="48">
                  <c:v>1470.1186</c:v>
                </c:pt>
                <c:pt idx="49">
                  <c:v>1463.1014</c:v>
                </c:pt>
                <c:pt idx="50">
                  <c:v>1457.0488</c:v>
                </c:pt>
                <c:pt idx="51">
                  <c:v>1451.84</c:v>
                </c:pt>
                <c:pt idx="52">
                  <c:v>1447.3688999999999</c:v>
                </c:pt>
                <c:pt idx="53">
                  <c:v>1443.5398</c:v>
                </c:pt>
                <c:pt idx="54">
                  <c:v>1440.2547</c:v>
                </c:pt>
                <c:pt idx="55">
                  <c:v>1437.4384</c:v>
                </c:pt>
                <c:pt idx="56">
                  <c:v>1435.0391</c:v>
                </c:pt>
                <c:pt idx="57">
                  <c:v>1432.9860000000001</c:v>
                </c:pt>
                <c:pt idx="58">
                  <c:v>1431.2294999999999</c:v>
                </c:pt>
                <c:pt idx="59">
                  <c:v>1429.7284999999999</c:v>
                </c:pt>
                <c:pt idx="60">
                  <c:v>1428.4463000000001</c:v>
                </c:pt>
                <c:pt idx="61">
                  <c:v>1427.3397</c:v>
                </c:pt>
                <c:pt idx="62">
                  <c:v>1426.3975</c:v>
                </c:pt>
                <c:pt idx="63">
                  <c:v>1425.5965000000001</c:v>
                </c:pt>
                <c:pt idx="64">
                  <c:v>1424.9050999999999</c:v>
                </c:pt>
                <c:pt idx="65">
                  <c:v>1424.3088</c:v>
                </c:pt>
                <c:pt idx="66">
                  <c:v>1423.8082999999999</c:v>
                </c:pt>
                <c:pt idx="67">
                  <c:v>1423.3786</c:v>
                </c:pt>
                <c:pt idx="68">
                  <c:v>1423.0110999999999</c:v>
                </c:pt>
                <c:pt idx="69">
                  <c:v>1422.6851999999999</c:v>
                </c:pt>
                <c:pt idx="70">
                  <c:v>1422.4091000000001</c:v>
                </c:pt>
                <c:pt idx="71">
                  <c:v>1422.1775</c:v>
                </c:pt>
                <c:pt idx="72">
                  <c:v>1421.9736</c:v>
                </c:pt>
                <c:pt idx="73">
                  <c:v>1421.7940000000001</c:v>
                </c:pt>
                <c:pt idx="74">
                  <c:v>1421.6494</c:v>
                </c:pt>
                <c:pt idx="75">
                  <c:v>1421.5246999999999</c:v>
                </c:pt>
                <c:pt idx="76">
                  <c:v>1421.4177</c:v>
                </c:pt>
                <c:pt idx="77">
                  <c:v>1421.328</c:v>
                </c:pt>
                <c:pt idx="78">
                  <c:v>1421.2414000000001</c:v>
                </c:pt>
                <c:pt idx="79">
                  <c:v>1421.1697999999999</c:v>
                </c:pt>
                <c:pt idx="80">
                  <c:v>1421.1132</c:v>
                </c:pt>
                <c:pt idx="81">
                  <c:v>1421.058</c:v>
                </c:pt>
                <c:pt idx="82">
                  <c:v>1421.0164</c:v>
                </c:pt>
                <c:pt idx="83">
                  <c:v>1420.9755</c:v>
                </c:pt>
                <c:pt idx="84">
                  <c:v>1420.9483</c:v>
                </c:pt>
                <c:pt idx="85">
                  <c:v>1420.9214999999999</c:v>
                </c:pt>
                <c:pt idx="86">
                  <c:v>1420.8951</c:v>
                </c:pt>
                <c:pt idx="87">
                  <c:v>1420.8688999999999</c:v>
                </c:pt>
                <c:pt idx="88">
                  <c:v>1420.8553999999999</c:v>
                </c:pt>
                <c:pt idx="89">
                  <c:v>1420.8418999999999</c:v>
                </c:pt>
                <c:pt idx="90">
                  <c:v>1420.8285000000001</c:v>
                </c:pt>
                <c:pt idx="91">
                  <c:v>1420.8153</c:v>
                </c:pt>
                <c:pt idx="92">
                  <c:v>1420.8021000000001</c:v>
                </c:pt>
                <c:pt idx="93">
                  <c:v>1420.789</c:v>
                </c:pt>
                <c:pt idx="94">
                  <c:v>1420.7883999999999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0D-4EE6-B8B4-512234CF8FB2}"/>
            </c:ext>
          </c:extLst>
        </c:ser>
        <c:ser>
          <c:idx val="1"/>
          <c:order val="2"/>
          <c:tx>
            <c:strRef>
              <c:f>'IndepMalha 200s'!$S$15:$U$15</c:f>
              <c:strCache>
                <c:ptCount val="1"/>
                <c:pt idx="0">
                  <c:v>TDMA with ADI 61x61 - 200s</c:v>
                </c:pt>
              </c:strCache>
            </c:strRef>
          </c:tx>
          <c:xVal>
            <c:numRef>
              <c:f>'IndepMalha 200s'!$R$24:$R$118</c:f>
              <c:numCache>
                <c:formatCode>General</c:formatCode>
                <c:ptCount val="95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200s'!$U$24:$U$118</c:f>
              <c:numCache>
                <c:formatCode>0.00</c:formatCode>
                <c:ptCount val="95"/>
                <c:pt idx="0">
                  <c:v>300</c:v>
                </c:pt>
                <c:pt idx="1">
                  <c:v>383.7629</c:v>
                </c:pt>
                <c:pt idx="2">
                  <c:v>461.14389999999997</c:v>
                </c:pt>
                <c:pt idx="3">
                  <c:v>527.68799999999999</c:v>
                </c:pt>
                <c:pt idx="4">
                  <c:v>586.30439999999999</c:v>
                </c:pt>
                <c:pt idx="5">
                  <c:v>639.10770000000002</c:v>
                </c:pt>
                <c:pt idx="6">
                  <c:v>673.73140000000001</c:v>
                </c:pt>
                <c:pt idx="7">
                  <c:v>742.33889999999997</c:v>
                </c:pt>
                <c:pt idx="8">
                  <c:v>807.31550000000004</c:v>
                </c:pt>
                <c:pt idx="9">
                  <c:v>864.02480000000003</c:v>
                </c:pt>
                <c:pt idx="10">
                  <c:v>912.93989999999997</c:v>
                </c:pt>
                <c:pt idx="11">
                  <c:v>955.41579999999999</c:v>
                </c:pt>
                <c:pt idx="12">
                  <c:v>993.05340000000001</c:v>
                </c:pt>
                <c:pt idx="13">
                  <c:v>1027.6549</c:v>
                </c:pt>
                <c:pt idx="14">
                  <c:v>1061.0191</c:v>
                </c:pt>
                <c:pt idx="15">
                  <c:v>1093.8475000000001</c:v>
                </c:pt>
                <c:pt idx="16">
                  <c:v>1113.4851000000001</c:v>
                </c:pt>
                <c:pt idx="17">
                  <c:v>1158.4648</c:v>
                </c:pt>
                <c:pt idx="18">
                  <c:v>1204.153</c:v>
                </c:pt>
                <c:pt idx="19">
                  <c:v>1246.1940999999999</c:v>
                </c:pt>
                <c:pt idx="20">
                  <c:v>1283.5537999999999</c:v>
                </c:pt>
                <c:pt idx="21">
                  <c:v>1316.4179999999999</c:v>
                </c:pt>
                <c:pt idx="22">
                  <c:v>1345.1311000000001</c:v>
                </c:pt>
                <c:pt idx="23">
                  <c:v>1370.0657000000001</c:v>
                </c:pt>
                <c:pt idx="24">
                  <c:v>1391.5990999999999</c:v>
                </c:pt>
                <c:pt idx="25">
                  <c:v>1410.0992000000001</c:v>
                </c:pt>
                <c:pt idx="26">
                  <c:v>1420.1871000000001</c:v>
                </c:pt>
                <c:pt idx="27">
                  <c:v>1435.7356</c:v>
                </c:pt>
                <c:pt idx="28">
                  <c:v>1448.8585</c:v>
                </c:pt>
                <c:pt idx="29">
                  <c:v>1459.7364</c:v>
                </c:pt>
                <c:pt idx="30">
                  <c:v>1468.7697000000001</c:v>
                </c:pt>
                <c:pt idx="31">
                  <c:v>1476.307</c:v>
                </c:pt>
                <c:pt idx="32">
                  <c:v>1482.6116999999999</c:v>
                </c:pt>
                <c:pt idx="33">
                  <c:v>1487.8969999999999</c:v>
                </c:pt>
                <c:pt idx="34">
                  <c:v>1492.3335999999999</c:v>
                </c:pt>
                <c:pt idx="35">
                  <c:v>1496.0609999999999</c:v>
                </c:pt>
                <c:pt idx="36">
                  <c:v>1499.1937</c:v>
                </c:pt>
                <c:pt idx="37">
                  <c:v>1501.8272999999999</c:v>
                </c:pt>
                <c:pt idx="38">
                  <c:v>1504.0413000000001</c:v>
                </c:pt>
                <c:pt idx="39">
                  <c:v>1505.9025999999999</c:v>
                </c:pt>
                <c:pt idx="40">
                  <c:v>1507.4673</c:v>
                </c:pt>
                <c:pt idx="41">
                  <c:v>1508.7825</c:v>
                </c:pt>
                <c:pt idx="42">
                  <c:v>1509.8878999999999</c:v>
                </c:pt>
                <c:pt idx="43">
                  <c:v>1510.8169</c:v>
                </c:pt>
                <c:pt idx="44">
                  <c:v>1510.9096999999999</c:v>
                </c:pt>
                <c:pt idx="45">
                  <c:v>1499.6585</c:v>
                </c:pt>
                <c:pt idx="46">
                  <c:v>1488.3487</c:v>
                </c:pt>
                <c:pt idx="47">
                  <c:v>1478.5564999999999</c:v>
                </c:pt>
                <c:pt idx="48">
                  <c:v>1470.1362999999999</c:v>
                </c:pt>
                <c:pt idx="49">
                  <c:v>1462.8732</c:v>
                </c:pt>
                <c:pt idx="50">
                  <c:v>1456.6105</c:v>
                </c:pt>
                <c:pt idx="51">
                  <c:v>1451.2199000000001</c:v>
                </c:pt>
                <c:pt idx="52">
                  <c:v>1446.5943</c:v>
                </c:pt>
                <c:pt idx="53">
                  <c:v>1442.6275000000001</c:v>
                </c:pt>
                <c:pt idx="54">
                  <c:v>1439.2293999999999</c:v>
                </c:pt>
                <c:pt idx="55">
                  <c:v>1436.3212000000001</c:v>
                </c:pt>
                <c:pt idx="56">
                  <c:v>1433.8335</c:v>
                </c:pt>
                <c:pt idx="57">
                  <c:v>1431.7064</c:v>
                </c:pt>
                <c:pt idx="58">
                  <c:v>1429.8876</c:v>
                </c:pt>
                <c:pt idx="59">
                  <c:v>1428.3325</c:v>
                </c:pt>
                <c:pt idx="60">
                  <c:v>1426.9974999999999</c:v>
                </c:pt>
                <c:pt idx="61">
                  <c:v>1425.8558</c:v>
                </c:pt>
                <c:pt idx="62">
                  <c:v>1424.8796</c:v>
                </c:pt>
                <c:pt idx="63">
                  <c:v>1424.0445999999999</c:v>
                </c:pt>
                <c:pt idx="64">
                  <c:v>1423.3306</c:v>
                </c:pt>
                <c:pt idx="65">
                  <c:v>1422.7198000000001</c:v>
                </c:pt>
                <c:pt idx="66">
                  <c:v>1422.1976</c:v>
                </c:pt>
                <c:pt idx="67">
                  <c:v>1421.7511</c:v>
                </c:pt>
                <c:pt idx="68">
                  <c:v>1421.3637000000001</c:v>
                </c:pt>
                <c:pt idx="69">
                  <c:v>1421.0327</c:v>
                </c:pt>
                <c:pt idx="70">
                  <c:v>1420.7498000000001</c:v>
                </c:pt>
                <c:pt idx="71">
                  <c:v>1420.5087000000001</c:v>
                </c:pt>
                <c:pt idx="72">
                  <c:v>1420.3031000000001</c:v>
                </c:pt>
                <c:pt idx="73">
                  <c:v>1420.1224</c:v>
                </c:pt>
                <c:pt idx="74">
                  <c:v>1419.9689000000001</c:v>
                </c:pt>
                <c:pt idx="75">
                  <c:v>1419.8388</c:v>
                </c:pt>
                <c:pt idx="76">
                  <c:v>1419.7231999999999</c:v>
                </c:pt>
                <c:pt idx="77">
                  <c:v>1419.6258</c:v>
                </c:pt>
                <c:pt idx="78">
                  <c:v>1419.5441000000001</c:v>
                </c:pt>
                <c:pt idx="79">
                  <c:v>1419.4706000000001</c:v>
                </c:pt>
                <c:pt idx="80">
                  <c:v>1419.4097999999999</c:v>
                </c:pt>
                <c:pt idx="81">
                  <c:v>1419.3544999999999</c:v>
                </c:pt>
                <c:pt idx="82">
                  <c:v>1419.3094000000001</c:v>
                </c:pt>
                <c:pt idx="83">
                  <c:v>1419.2679000000001</c:v>
                </c:pt>
                <c:pt idx="84">
                  <c:v>1419.2352000000001</c:v>
                </c:pt>
                <c:pt idx="85">
                  <c:v>1419.2048</c:v>
                </c:pt>
                <c:pt idx="86">
                  <c:v>1419.1818000000001</c:v>
                </c:pt>
                <c:pt idx="87">
                  <c:v>1419.1601000000001</c:v>
                </c:pt>
                <c:pt idx="88">
                  <c:v>1419.1451</c:v>
                </c:pt>
                <c:pt idx="89">
                  <c:v>1419.1310000000001</c:v>
                </c:pt>
                <c:pt idx="90">
                  <c:v>1419.1175000000001</c:v>
                </c:pt>
                <c:pt idx="91">
                  <c:v>1419.1044999999999</c:v>
                </c:pt>
                <c:pt idx="92">
                  <c:v>1419.0977</c:v>
                </c:pt>
                <c:pt idx="93">
                  <c:v>1419.0909999999999</c:v>
                </c:pt>
                <c:pt idx="94">
                  <c:v>1419.0844999999999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0D-4EE6-B8B4-512234CF8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66592"/>
        <c:axId val="59968128"/>
      </c:scatterChart>
      <c:valAx>
        <c:axId val="599665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600"/>
                </a:pPr>
                <a:r>
                  <a:rPr lang="pt-BR" sz="1600"/>
                  <a:t>Tempo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600" b="0"/>
            </a:pPr>
            <a:endParaRPr lang="pt-BR"/>
          </a:p>
        </c:txPr>
        <c:crossAx val="59968128"/>
        <c:crosses val="autoZero"/>
        <c:crossBetween val="midCat"/>
      </c:valAx>
      <c:valAx>
        <c:axId val="59968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pt-BR" sz="1800"/>
                  <a:t>Temperatura</a:t>
                </a:r>
                <a:r>
                  <a:rPr lang="pt-BR" sz="1800" baseline="0"/>
                  <a:t> (K)</a:t>
                </a:r>
                <a:endParaRPr lang="pt-BR" sz="1800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600"/>
            </a:pPr>
            <a:endParaRPr lang="pt-BR"/>
          </a:p>
        </c:txPr>
        <c:crossAx val="59966592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845440350930818"/>
          <c:y val="0.74552330433827363"/>
          <c:w val="0.27268876660817404"/>
          <c:h val="0.14622784008016623"/>
        </c:manualLayout>
      </c:layout>
      <c:overlay val="1"/>
      <c:spPr>
        <a:solidFill>
          <a:schemeClr val="bg1"/>
        </a:solidFill>
        <a:ln>
          <a:solidFill>
            <a:sysClr val="windowText" lastClr="000000"/>
          </a:solidFill>
        </a:ln>
      </c:spPr>
      <c:txPr>
        <a:bodyPr/>
        <a:lstStyle/>
        <a:p>
          <a:pPr>
            <a:defRPr sz="1400"/>
          </a:pPr>
          <a:endParaRPr lang="pt-BR"/>
        </a:p>
      </c:txPr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Ponto 2 - X=0,50 m / Y = 0,15 m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'IndepMalha 200s'!$C$120:$E$120</c:f>
              <c:strCache>
                <c:ptCount val="1"/>
                <c:pt idx="0">
                  <c:v>TDMA with ADI 241x241 - 200s</c:v>
                </c:pt>
              </c:strCache>
            </c:strRef>
          </c:tx>
          <c:marker>
            <c:symbol val="circle"/>
            <c:size val="9"/>
            <c:spPr>
              <a:solidFill>
                <a:schemeClr val="bg1"/>
              </a:solidFill>
              <a:ln w="22225"/>
            </c:spPr>
          </c:marker>
          <c:xVal>
            <c:numRef>
              <c:f>'IndepMalha 200s'!$B$129:$B$223</c:f>
              <c:numCache>
                <c:formatCode>0.00</c:formatCode>
                <c:ptCount val="95"/>
                <c:pt idx="0" formatCode="General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200s'!$E$129:$E$223</c:f>
              <c:numCache>
                <c:formatCode>0.00</c:formatCode>
                <c:ptCount val="95"/>
                <c:pt idx="0">
                  <c:v>300</c:v>
                </c:pt>
                <c:pt idx="1">
                  <c:v>380.00080000000003</c:v>
                </c:pt>
                <c:pt idx="2">
                  <c:v>453.22809999999998</c:v>
                </c:pt>
                <c:pt idx="3">
                  <c:v>515.45519999999999</c:v>
                </c:pt>
                <c:pt idx="4">
                  <c:v>569.77290000000005</c:v>
                </c:pt>
                <c:pt idx="5">
                  <c:v>618.37929999999994</c:v>
                </c:pt>
                <c:pt idx="6">
                  <c:v>650.16959999999995</c:v>
                </c:pt>
                <c:pt idx="7">
                  <c:v>716.15520000000004</c:v>
                </c:pt>
                <c:pt idx="8">
                  <c:v>779.58399999999995</c:v>
                </c:pt>
                <c:pt idx="9">
                  <c:v>835.73590000000002</c:v>
                </c:pt>
                <c:pt idx="10">
                  <c:v>884.55100000000004</c:v>
                </c:pt>
                <c:pt idx="11">
                  <c:v>927.13580000000002</c:v>
                </c:pt>
                <c:pt idx="12">
                  <c:v>964.69169999999997</c:v>
                </c:pt>
                <c:pt idx="13">
                  <c:v>998.41970000000003</c:v>
                </c:pt>
                <c:pt idx="14">
                  <c:v>1029.5987</c:v>
                </c:pt>
                <c:pt idx="15">
                  <c:v>1059.3212000000001</c:v>
                </c:pt>
                <c:pt idx="16">
                  <c:v>1076.6719000000001</c:v>
                </c:pt>
                <c:pt idx="17">
                  <c:v>1116.6215</c:v>
                </c:pt>
                <c:pt idx="18">
                  <c:v>1158.1133</c:v>
                </c:pt>
                <c:pt idx="19">
                  <c:v>1197.9812999999999</c:v>
                </c:pt>
                <c:pt idx="20">
                  <c:v>1235.1467</c:v>
                </c:pt>
                <c:pt idx="21">
                  <c:v>1268.845</c:v>
                </c:pt>
                <c:pt idx="22">
                  <c:v>1298.9337</c:v>
                </c:pt>
                <c:pt idx="23">
                  <c:v>1325.6105</c:v>
                </c:pt>
                <c:pt idx="24">
                  <c:v>1349.1493</c:v>
                </c:pt>
                <c:pt idx="25">
                  <c:v>1369.779</c:v>
                </c:pt>
                <c:pt idx="26">
                  <c:v>1381.2053000000001</c:v>
                </c:pt>
                <c:pt idx="27">
                  <c:v>1398.8431</c:v>
                </c:pt>
                <c:pt idx="28">
                  <c:v>1414.1206999999999</c:v>
                </c:pt>
                <c:pt idx="29">
                  <c:v>1427.0681</c:v>
                </c:pt>
                <c:pt idx="30">
                  <c:v>1438.0387000000001</c:v>
                </c:pt>
                <c:pt idx="31">
                  <c:v>1447.3796</c:v>
                </c:pt>
                <c:pt idx="32">
                  <c:v>1455.3154999999999</c:v>
                </c:pt>
                <c:pt idx="33">
                  <c:v>1462.0553</c:v>
                </c:pt>
                <c:pt idx="34">
                  <c:v>1467.7704000000001</c:v>
                </c:pt>
                <c:pt idx="35">
                  <c:v>1472.6338000000001</c:v>
                </c:pt>
                <c:pt idx="36">
                  <c:v>1476.758</c:v>
                </c:pt>
                <c:pt idx="37">
                  <c:v>1480.2416000000001</c:v>
                </c:pt>
                <c:pt idx="38">
                  <c:v>1483.1929</c:v>
                </c:pt>
                <c:pt idx="39">
                  <c:v>1485.7041999999999</c:v>
                </c:pt>
                <c:pt idx="40">
                  <c:v>1487.8285000000001</c:v>
                </c:pt>
                <c:pt idx="41">
                  <c:v>1489.6051</c:v>
                </c:pt>
                <c:pt idx="42">
                  <c:v>1491.1292000000001</c:v>
                </c:pt>
                <c:pt idx="43">
                  <c:v>1492.3947000000001</c:v>
                </c:pt>
                <c:pt idx="44">
                  <c:v>1492.5282999999999</c:v>
                </c:pt>
                <c:pt idx="45">
                  <c:v>1485.8052</c:v>
                </c:pt>
                <c:pt idx="46">
                  <c:v>1478.5262</c:v>
                </c:pt>
                <c:pt idx="47">
                  <c:v>1472.3432</c:v>
                </c:pt>
                <c:pt idx="48">
                  <c:v>1467.1304</c:v>
                </c:pt>
                <c:pt idx="49">
                  <c:v>1462.7188000000001</c:v>
                </c:pt>
                <c:pt idx="50">
                  <c:v>1458.9462000000001</c:v>
                </c:pt>
                <c:pt idx="51">
                  <c:v>1455.7313999999999</c:v>
                </c:pt>
                <c:pt idx="52">
                  <c:v>1452.9654</c:v>
                </c:pt>
                <c:pt idx="53">
                  <c:v>1450.6008999999999</c:v>
                </c:pt>
                <c:pt idx="54">
                  <c:v>1448.5749000000001</c:v>
                </c:pt>
                <c:pt idx="55">
                  <c:v>1446.8320000000001</c:v>
                </c:pt>
                <c:pt idx="56">
                  <c:v>1445.3484000000001</c:v>
                </c:pt>
                <c:pt idx="57">
                  <c:v>1444.0569</c:v>
                </c:pt>
                <c:pt idx="58">
                  <c:v>1442.9659999999999</c:v>
                </c:pt>
                <c:pt idx="59">
                  <c:v>1442.0151000000001</c:v>
                </c:pt>
                <c:pt idx="60">
                  <c:v>1441.2190000000001</c:v>
                </c:pt>
                <c:pt idx="61">
                  <c:v>1440.5213000000001</c:v>
                </c:pt>
                <c:pt idx="62">
                  <c:v>1439.9409000000001</c:v>
                </c:pt>
                <c:pt idx="63">
                  <c:v>1439.4241</c:v>
                </c:pt>
                <c:pt idx="64">
                  <c:v>1438.9933000000001</c:v>
                </c:pt>
                <c:pt idx="65">
                  <c:v>1438.6201000000001</c:v>
                </c:pt>
                <c:pt idx="66">
                  <c:v>1438.3027</c:v>
                </c:pt>
                <c:pt idx="67">
                  <c:v>1438.0395000000001</c:v>
                </c:pt>
                <c:pt idx="68">
                  <c:v>1437.8036</c:v>
                </c:pt>
                <c:pt idx="69">
                  <c:v>1437.6201000000001</c:v>
                </c:pt>
                <c:pt idx="70">
                  <c:v>1437.4384</c:v>
                </c:pt>
                <c:pt idx="71">
                  <c:v>1437.3081</c:v>
                </c:pt>
                <c:pt idx="72">
                  <c:v>1437.1787999999999</c:v>
                </c:pt>
                <c:pt idx="73">
                  <c:v>1437.0762</c:v>
                </c:pt>
                <c:pt idx="74">
                  <c:v>1436.9983</c:v>
                </c:pt>
                <c:pt idx="75">
                  <c:v>1436.9206999999999</c:v>
                </c:pt>
                <c:pt idx="76">
                  <c:v>1436.8434999999999</c:v>
                </c:pt>
                <c:pt idx="77">
                  <c:v>1436.7926</c:v>
                </c:pt>
                <c:pt idx="78">
                  <c:v>1436.7418</c:v>
                </c:pt>
                <c:pt idx="79">
                  <c:v>1436.6912</c:v>
                </c:pt>
                <c:pt idx="80">
                  <c:v>1436.6648</c:v>
                </c:pt>
                <c:pt idx="81">
                  <c:v>1436.6385</c:v>
                </c:pt>
                <c:pt idx="82">
                  <c:v>1436.6122</c:v>
                </c:pt>
                <c:pt idx="83">
                  <c:v>1436.586</c:v>
                </c:pt>
                <c:pt idx="84">
                  <c:v>1436.5598</c:v>
                </c:pt>
                <c:pt idx="85">
                  <c:v>1436.5588</c:v>
                </c:pt>
                <c:pt idx="86">
                  <c:v>1436.5578</c:v>
                </c:pt>
                <c:pt idx="87">
                  <c:v>1436.5568000000001</c:v>
                </c:pt>
                <c:pt idx="88">
                  <c:v>1436.5558000000001</c:v>
                </c:pt>
                <c:pt idx="89">
                  <c:v>1436.5547999999999</c:v>
                </c:pt>
                <c:pt idx="90">
                  <c:v>1436.5539000000001</c:v>
                </c:pt>
                <c:pt idx="91">
                  <c:v>1436.5528999999999</c:v>
                </c:pt>
                <c:pt idx="92">
                  <c:v>1436.5518999999999</c:v>
                </c:pt>
                <c:pt idx="93">
                  <c:v>1436.5509</c:v>
                </c:pt>
                <c:pt idx="94">
                  <c:v>1436.5499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F0-47D7-B2D7-0EFA6FD7AD7A}"/>
            </c:ext>
          </c:extLst>
        </c:ser>
        <c:ser>
          <c:idx val="0"/>
          <c:order val="1"/>
          <c:tx>
            <c:strRef>
              <c:f>'IndepMalha 200s'!$K$120:$M$120</c:f>
              <c:strCache>
                <c:ptCount val="1"/>
                <c:pt idx="0">
                  <c:v>TDMA with ADI 121x121 - 200s</c:v>
                </c:pt>
              </c:strCache>
            </c:strRef>
          </c:tx>
          <c:xVal>
            <c:numRef>
              <c:f>'IndepMalha 200s'!$J$129:$J$223</c:f>
              <c:numCache>
                <c:formatCode>0.00</c:formatCode>
                <c:ptCount val="95"/>
                <c:pt idx="0" formatCode="General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200s'!$M$129:$M$223</c:f>
              <c:numCache>
                <c:formatCode>0.00</c:formatCode>
                <c:ptCount val="95"/>
                <c:pt idx="0">
                  <c:v>300</c:v>
                </c:pt>
                <c:pt idx="1">
                  <c:v>382.54180000000002</c:v>
                </c:pt>
                <c:pt idx="2">
                  <c:v>457.96550000000002</c:v>
                </c:pt>
                <c:pt idx="3">
                  <c:v>522.16899999999998</c:v>
                </c:pt>
                <c:pt idx="4">
                  <c:v>578.29629999999997</c:v>
                </c:pt>
                <c:pt idx="5">
                  <c:v>628.57820000000004</c:v>
                </c:pt>
                <c:pt idx="6">
                  <c:v>661.48490000000004</c:v>
                </c:pt>
                <c:pt idx="7">
                  <c:v>728.57960000000003</c:v>
                </c:pt>
                <c:pt idx="8">
                  <c:v>792.71950000000004</c:v>
                </c:pt>
                <c:pt idx="9">
                  <c:v>849.16949999999997</c:v>
                </c:pt>
                <c:pt idx="10">
                  <c:v>898.10220000000004</c:v>
                </c:pt>
                <c:pt idx="11">
                  <c:v>940.65129999999999</c:v>
                </c:pt>
                <c:pt idx="12">
                  <c:v>978.16880000000003</c:v>
                </c:pt>
                <c:pt idx="13">
                  <c:v>1011.9863</c:v>
                </c:pt>
                <c:pt idx="14">
                  <c:v>1043.7021</c:v>
                </c:pt>
                <c:pt idx="15">
                  <c:v>1073.9521</c:v>
                </c:pt>
                <c:pt idx="16">
                  <c:v>1091.6748</c:v>
                </c:pt>
                <c:pt idx="17">
                  <c:v>1132.8178</c:v>
                </c:pt>
                <c:pt idx="18">
                  <c:v>1175.6079</c:v>
                </c:pt>
                <c:pt idx="19">
                  <c:v>1216.5137999999999</c:v>
                </c:pt>
                <c:pt idx="20">
                  <c:v>1254.1362999999999</c:v>
                </c:pt>
                <c:pt idx="21">
                  <c:v>1287.8968</c:v>
                </c:pt>
                <c:pt idx="22">
                  <c:v>1317.9266</c:v>
                </c:pt>
                <c:pt idx="23">
                  <c:v>1344.4965</c:v>
                </c:pt>
                <c:pt idx="24">
                  <c:v>1367.8579</c:v>
                </c:pt>
                <c:pt idx="25">
                  <c:v>1388.3109999999999</c:v>
                </c:pt>
                <c:pt idx="26">
                  <c:v>1399.5985000000001</c:v>
                </c:pt>
                <c:pt idx="27">
                  <c:v>1417.1224</c:v>
                </c:pt>
                <c:pt idx="28">
                  <c:v>1432.1775</c:v>
                </c:pt>
                <c:pt idx="29">
                  <c:v>1444.886</c:v>
                </c:pt>
                <c:pt idx="30">
                  <c:v>1455.6324</c:v>
                </c:pt>
                <c:pt idx="31">
                  <c:v>1464.7260000000001</c:v>
                </c:pt>
                <c:pt idx="32">
                  <c:v>1472.4317000000001</c:v>
                </c:pt>
                <c:pt idx="33">
                  <c:v>1478.9494</c:v>
                </c:pt>
                <c:pt idx="34">
                  <c:v>1484.4731999999999</c:v>
                </c:pt>
                <c:pt idx="35">
                  <c:v>1489.154</c:v>
                </c:pt>
                <c:pt idx="36">
                  <c:v>1493.1036999999999</c:v>
                </c:pt>
                <c:pt idx="37">
                  <c:v>1496.4463000000001</c:v>
                </c:pt>
                <c:pt idx="38">
                  <c:v>1499.26</c:v>
                </c:pt>
                <c:pt idx="39">
                  <c:v>1501.64</c:v>
                </c:pt>
                <c:pt idx="40">
                  <c:v>1503.6375</c:v>
                </c:pt>
                <c:pt idx="41">
                  <c:v>1505.3244</c:v>
                </c:pt>
                <c:pt idx="42">
                  <c:v>1506.7492999999999</c:v>
                </c:pt>
                <c:pt idx="43">
                  <c:v>1507.9507000000001</c:v>
                </c:pt>
                <c:pt idx="44">
                  <c:v>1508.0761</c:v>
                </c:pt>
                <c:pt idx="45">
                  <c:v>1497.6006</c:v>
                </c:pt>
                <c:pt idx="46">
                  <c:v>1487.0714</c:v>
                </c:pt>
                <c:pt idx="47">
                  <c:v>1478.0718999999999</c:v>
                </c:pt>
                <c:pt idx="48">
                  <c:v>1470.4212</c:v>
                </c:pt>
                <c:pt idx="49">
                  <c:v>1463.8635999999999</c:v>
                </c:pt>
                <c:pt idx="50">
                  <c:v>1458.2182</c:v>
                </c:pt>
                <c:pt idx="51">
                  <c:v>1453.3468</c:v>
                </c:pt>
                <c:pt idx="52">
                  <c:v>1449.1384</c:v>
                </c:pt>
                <c:pt idx="53">
                  <c:v>1445.5011999999999</c:v>
                </c:pt>
                <c:pt idx="54">
                  <c:v>1442.3456000000001</c:v>
                </c:pt>
                <c:pt idx="55">
                  <c:v>1439.6063999999999</c:v>
                </c:pt>
                <c:pt idx="56">
                  <c:v>1437.2421999999999</c:v>
                </c:pt>
                <c:pt idx="57">
                  <c:v>1435.1922</c:v>
                </c:pt>
                <c:pt idx="58">
                  <c:v>1433.4149</c:v>
                </c:pt>
                <c:pt idx="59">
                  <c:v>1431.8766000000001</c:v>
                </c:pt>
                <c:pt idx="60">
                  <c:v>1430.5461</c:v>
                </c:pt>
                <c:pt idx="61">
                  <c:v>1429.3842999999999</c:v>
                </c:pt>
                <c:pt idx="62">
                  <c:v>1428.3841</c:v>
                </c:pt>
                <c:pt idx="63">
                  <c:v>1427.5250000000001</c:v>
                </c:pt>
                <c:pt idx="64">
                  <c:v>1426.7764</c:v>
                </c:pt>
                <c:pt idx="65">
                  <c:v>1426.125</c:v>
                </c:pt>
                <c:pt idx="66">
                  <c:v>1425.5741</c:v>
                </c:pt>
                <c:pt idx="67">
                  <c:v>1425.0977</c:v>
                </c:pt>
                <c:pt idx="68">
                  <c:v>1424.6875</c:v>
                </c:pt>
                <c:pt idx="69">
                  <c:v>1424.3215</c:v>
                </c:pt>
                <c:pt idx="70">
                  <c:v>1424.0097000000001</c:v>
                </c:pt>
                <c:pt idx="71">
                  <c:v>1423.7469000000001</c:v>
                </c:pt>
                <c:pt idx="72">
                  <c:v>1423.5147999999999</c:v>
                </c:pt>
                <c:pt idx="73">
                  <c:v>1423.3092999999999</c:v>
                </c:pt>
                <c:pt idx="74">
                  <c:v>1423.1432</c:v>
                </c:pt>
                <c:pt idx="75">
                  <c:v>1422.9997000000001</c:v>
                </c:pt>
                <c:pt idx="76">
                  <c:v>1422.8761999999999</c:v>
                </c:pt>
                <c:pt idx="77">
                  <c:v>1422.7726</c:v>
                </c:pt>
                <c:pt idx="78">
                  <c:v>1422.6723</c:v>
                </c:pt>
                <c:pt idx="79">
                  <c:v>1422.5890999999999</c:v>
                </c:pt>
                <c:pt idx="80">
                  <c:v>1422.5234</c:v>
                </c:pt>
                <c:pt idx="81">
                  <c:v>1422.4592</c:v>
                </c:pt>
                <c:pt idx="82">
                  <c:v>1422.4105</c:v>
                </c:pt>
                <c:pt idx="83">
                  <c:v>1422.3625999999999</c:v>
                </c:pt>
                <c:pt idx="84">
                  <c:v>1422.3309999999999</c:v>
                </c:pt>
                <c:pt idx="85">
                  <c:v>1422.2997</c:v>
                </c:pt>
                <c:pt idx="86">
                  <c:v>1422.2688000000001</c:v>
                </c:pt>
                <c:pt idx="87">
                  <c:v>1422.2382</c:v>
                </c:pt>
                <c:pt idx="88">
                  <c:v>1422.2221999999999</c:v>
                </c:pt>
                <c:pt idx="89">
                  <c:v>1422.2063000000001</c:v>
                </c:pt>
                <c:pt idx="90">
                  <c:v>1422.1904</c:v>
                </c:pt>
                <c:pt idx="91">
                  <c:v>1422.1747</c:v>
                </c:pt>
                <c:pt idx="92">
                  <c:v>1422.1591000000001</c:v>
                </c:pt>
                <c:pt idx="93">
                  <c:v>1422.1436000000001</c:v>
                </c:pt>
                <c:pt idx="94">
                  <c:v>1422.143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F0-47D7-B2D7-0EFA6FD7A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89344"/>
        <c:axId val="58915840"/>
      </c:scatterChart>
      <c:valAx>
        <c:axId val="588893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600"/>
                </a:pPr>
                <a:r>
                  <a:rPr lang="pt-BR" sz="1600"/>
                  <a:t>Tempo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600" b="0"/>
            </a:pPr>
            <a:endParaRPr lang="pt-BR"/>
          </a:p>
        </c:txPr>
        <c:crossAx val="58915840"/>
        <c:crosses val="autoZero"/>
        <c:crossBetween val="midCat"/>
      </c:valAx>
      <c:valAx>
        <c:axId val="58915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pt-BR" sz="1800"/>
                  <a:t>Temperatura</a:t>
                </a:r>
                <a:r>
                  <a:rPr lang="pt-BR" sz="1800" baseline="0"/>
                  <a:t> (K)</a:t>
                </a:r>
                <a:endParaRPr lang="pt-BR" sz="1800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600"/>
            </a:pPr>
            <a:endParaRPr lang="pt-BR"/>
          </a:p>
        </c:txPr>
        <c:crossAx val="58889344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84544035093084"/>
          <c:y val="0.74552330433827363"/>
          <c:w val="0.27268876660817404"/>
          <c:h val="9.7485226720110812E-2"/>
        </c:manualLayout>
      </c:layout>
      <c:overlay val="1"/>
      <c:spPr>
        <a:solidFill>
          <a:schemeClr val="bg1"/>
        </a:solidFill>
        <a:ln>
          <a:solidFill>
            <a:sysClr val="windowText" lastClr="000000"/>
          </a:solidFill>
        </a:ln>
      </c:spPr>
      <c:txPr>
        <a:bodyPr/>
        <a:lstStyle/>
        <a:p>
          <a:pPr>
            <a:defRPr sz="1400"/>
          </a:pPr>
          <a:endParaRPr lang="pt-BR"/>
        </a:p>
      </c:txPr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Ponto 3 - X=0,75 m / Y = 0,15 m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'IndepMalha 200s'!$C$225:$E$225</c:f>
              <c:strCache>
                <c:ptCount val="1"/>
                <c:pt idx="0">
                  <c:v>TDMA with ADI 241x241 - 200s</c:v>
                </c:pt>
              </c:strCache>
            </c:strRef>
          </c:tx>
          <c:marker>
            <c:symbol val="circle"/>
            <c:size val="9"/>
            <c:spPr>
              <a:solidFill>
                <a:schemeClr val="bg1"/>
              </a:solidFill>
              <a:ln w="22225"/>
            </c:spPr>
          </c:marker>
          <c:xVal>
            <c:numRef>
              <c:f>'IndepMalha 200s'!$B$234:$B$328</c:f>
              <c:numCache>
                <c:formatCode>0.00</c:formatCode>
                <c:ptCount val="95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200s'!$E$234:$E$328</c:f>
              <c:numCache>
                <c:formatCode>0.00</c:formatCode>
                <c:ptCount val="95"/>
                <c:pt idx="0">
                  <c:v>300</c:v>
                </c:pt>
                <c:pt idx="1">
                  <c:v>380.7063</c:v>
                </c:pt>
                <c:pt idx="2">
                  <c:v>455.59899999999999</c:v>
                </c:pt>
                <c:pt idx="3">
                  <c:v>520.0127</c:v>
                </c:pt>
                <c:pt idx="4">
                  <c:v>576.72979999999995</c:v>
                </c:pt>
                <c:pt idx="5">
                  <c:v>627.78819999999996</c:v>
                </c:pt>
                <c:pt idx="6">
                  <c:v>661.2713</c:v>
                </c:pt>
                <c:pt idx="7">
                  <c:v>728.99210000000005</c:v>
                </c:pt>
                <c:pt idx="8">
                  <c:v>793.55809999999997</c:v>
                </c:pt>
                <c:pt idx="9">
                  <c:v>850.24890000000005</c:v>
                </c:pt>
                <c:pt idx="10">
                  <c:v>899.28399999999999</c:v>
                </c:pt>
                <c:pt idx="11">
                  <c:v>941.93079999999998</c:v>
                </c:pt>
                <c:pt idx="12">
                  <c:v>979.5933</c:v>
                </c:pt>
                <c:pt idx="13">
                  <c:v>1013.7593000000001</c:v>
                </c:pt>
                <c:pt idx="14">
                  <c:v>1046.0958000000001</c:v>
                </c:pt>
                <c:pt idx="15">
                  <c:v>1077.3870999999999</c:v>
                </c:pt>
                <c:pt idx="16">
                  <c:v>1095.9485</c:v>
                </c:pt>
                <c:pt idx="17">
                  <c:v>1138.8900000000001</c:v>
                </c:pt>
                <c:pt idx="18">
                  <c:v>1183.1107999999999</c:v>
                </c:pt>
                <c:pt idx="19">
                  <c:v>1224.6510000000001</c:v>
                </c:pt>
                <c:pt idx="20">
                  <c:v>1262.1648</c:v>
                </c:pt>
                <c:pt idx="21">
                  <c:v>1295.3678</c:v>
                </c:pt>
                <c:pt idx="22">
                  <c:v>1324.4854</c:v>
                </c:pt>
                <c:pt idx="23">
                  <c:v>1349.8782000000001</c:v>
                </c:pt>
                <c:pt idx="24">
                  <c:v>1371.922</c:v>
                </c:pt>
                <c:pt idx="25">
                  <c:v>1390.9324999999999</c:v>
                </c:pt>
                <c:pt idx="26">
                  <c:v>1401.3477</c:v>
                </c:pt>
                <c:pt idx="27">
                  <c:v>1417.3014000000001</c:v>
                </c:pt>
                <c:pt idx="28">
                  <c:v>1430.9223</c:v>
                </c:pt>
                <c:pt idx="29">
                  <c:v>1442.2881</c:v>
                </c:pt>
                <c:pt idx="30">
                  <c:v>1451.7802999999999</c:v>
                </c:pt>
                <c:pt idx="31">
                  <c:v>1459.7584999999999</c:v>
                </c:pt>
                <c:pt idx="32">
                  <c:v>1466.4609</c:v>
                </c:pt>
                <c:pt idx="33">
                  <c:v>1472.0988</c:v>
                </c:pt>
                <c:pt idx="34">
                  <c:v>1476.8411000000001</c:v>
                </c:pt>
                <c:pt idx="35">
                  <c:v>1480.8495</c:v>
                </c:pt>
                <c:pt idx="36">
                  <c:v>1484.2293</c:v>
                </c:pt>
                <c:pt idx="37">
                  <c:v>1487.0708999999999</c:v>
                </c:pt>
                <c:pt idx="38">
                  <c:v>1489.4690000000001</c:v>
                </c:pt>
                <c:pt idx="39">
                  <c:v>1491.5028</c:v>
                </c:pt>
                <c:pt idx="40">
                  <c:v>1493.2185999999999</c:v>
                </c:pt>
                <c:pt idx="41">
                  <c:v>1494.6501000000001</c:v>
                </c:pt>
                <c:pt idx="42">
                  <c:v>1495.8762999999999</c:v>
                </c:pt>
                <c:pt idx="43">
                  <c:v>1496.8927000000001</c:v>
                </c:pt>
                <c:pt idx="44">
                  <c:v>1496.9999</c:v>
                </c:pt>
                <c:pt idx="45">
                  <c:v>1489.6638</c:v>
                </c:pt>
                <c:pt idx="46">
                  <c:v>1481.8196</c:v>
                </c:pt>
                <c:pt idx="47">
                  <c:v>1475.0645999999999</c:v>
                </c:pt>
                <c:pt idx="48">
                  <c:v>1469.2754</c:v>
                </c:pt>
                <c:pt idx="49">
                  <c:v>1464.3090999999999</c:v>
                </c:pt>
                <c:pt idx="50">
                  <c:v>1460.0229999999999</c:v>
                </c:pt>
                <c:pt idx="51">
                  <c:v>1456.3522</c:v>
                </c:pt>
                <c:pt idx="52">
                  <c:v>1453.1892</c:v>
                </c:pt>
                <c:pt idx="53">
                  <c:v>1450.4885999999999</c:v>
                </c:pt>
                <c:pt idx="54">
                  <c:v>1448.1815999999999</c:v>
                </c:pt>
                <c:pt idx="55">
                  <c:v>1446.2055</c:v>
                </c:pt>
                <c:pt idx="56">
                  <c:v>1444.5316</c:v>
                </c:pt>
                <c:pt idx="57">
                  <c:v>1443.0822000000001</c:v>
                </c:pt>
                <c:pt idx="58">
                  <c:v>1441.8643999999999</c:v>
                </c:pt>
                <c:pt idx="59">
                  <c:v>1440.8083999999999</c:v>
                </c:pt>
                <c:pt idx="60">
                  <c:v>1439.9285</c:v>
                </c:pt>
                <c:pt idx="61">
                  <c:v>1439.1608000000001</c:v>
                </c:pt>
                <c:pt idx="62">
                  <c:v>1438.5247999999999</c:v>
                </c:pt>
                <c:pt idx="63">
                  <c:v>1437.9606000000001</c:v>
                </c:pt>
                <c:pt idx="64">
                  <c:v>1437.4919</c:v>
                </c:pt>
                <c:pt idx="65">
                  <c:v>1437.087</c:v>
                </c:pt>
                <c:pt idx="66">
                  <c:v>1436.7436</c:v>
                </c:pt>
                <c:pt idx="67">
                  <c:v>1436.4594</c:v>
                </c:pt>
                <c:pt idx="68">
                  <c:v>1436.2052000000001</c:v>
                </c:pt>
                <c:pt idx="69">
                  <c:v>1436.0079000000001</c:v>
                </c:pt>
                <c:pt idx="70">
                  <c:v>1435.8126999999999</c:v>
                </c:pt>
                <c:pt idx="71">
                  <c:v>1435.673</c:v>
                </c:pt>
                <c:pt idx="72">
                  <c:v>1435.5343</c:v>
                </c:pt>
                <c:pt idx="73">
                  <c:v>1435.4245000000001</c:v>
                </c:pt>
                <c:pt idx="74">
                  <c:v>1435.3412000000001</c:v>
                </c:pt>
                <c:pt idx="75">
                  <c:v>1435.2583</c:v>
                </c:pt>
                <c:pt idx="76">
                  <c:v>1435.1758</c:v>
                </c:pt>
                <c:pt idx="77">
                  <c:v>1435.1214</c:v>
                </c:pt>
                <c:pt idx="78">
                  <c:v>1435.0672</c:v>
                </c:pt>
                <c:pt idx="79">
                  <c:v>1435.0132000000001</c:v>
                </c:pt>
                <c:pt idx="80">
                  <c:v>1434.9851000000001</c:v>
                </c:pt>
                <c:pt idx="81">
                  <c:v>1434.9570000000001</c:v>
                </c:pt>
                <c:pt idx="82">
                  <c:v>1434.9290000000001</c:v>
                </c:pt>
                <c:pt idx="83">
                  <c:v>1434.9011</c:v>
                </c:pt>
                <c:pt idx="84">
                  <c:v>1434.8731</c:v>
                </c:pt>
                <c:pt idx="85">
                  <c:v>1434.8721</c:v>
                </c:pt>
                <c:pt idx="86">
                  <c:v>1434.8710000000001</c:v>
                </c:pt>
                <c:pt idx="87">
                  <c:v>1434.87</c:v>
                </c:pt>
                <c:pt idx="88">
                  <c:v>1434.8688999999999</c:v>
                </c:pt>
                <c:pt idx="89">
                  <c:v>1434.8679</c:v>
                </c:pt>
                <c:pt idx="90">
                  <c:v>1434.8668</c:v>
                </c:pt>
                <c:pt idx="91">
                  <c:v>1434.8658</c:v>
                </c:pt>
                <c:pt idx="92">
                  <c:v>1434.8647000000001</c:v>
                </c:pt>
                <c:pt idx="93">
                  <c:v>1434.8637000000001</c:v>
                </c:pt>
                <c:pt idx="94">
                  <c:v>1434.8626999999999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89-45B3-9CE4-36DCD7AFF585}"/>
            </c:ext>
          </c:extLst>
        </c:ser>
        <c:ser>
          <c:idx val="0"/>
          <c:order val="1"/>
          <c:tx>
            <c:strRef>
              <c:f>'IndepMalha 200s'!$K$225:$M$225</c:f>
              <c:strCache>
                <c:ptCount val="1"/>
                <c:pt idx="0">
                  <c:v>TDMA with ADI 121x121 - 200s</c:v>
                </c:pt>
              </c:strCache>
            </c:strRef>
          </c:tx>
          <c:xVal>
            <c:numRef>
              <c:f>'IndepMalha 200s'!$J$234:$J$328</c:f>
              <c:numCache>
                <c:formatCode>0.00</c:formatCode>
                <c:ptCount val="95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200s'!$M$234:$M$328</c:f>
              <c:numCache>
                <c:formatCode>0.00</c:formatCode>
                <c:ptCount val="95"/>
                <c:pt idx="0">
                  <c:v>300</c:v>
                </c:pt>
                <c:pt idx="1">
                  <c:v>383.42610000000002</c:v>
                </c:pt>
                <c:pt idx="2">
                  <c:v>460.52289999999999</c:v>
                </c:pt>
                <c:pt idx="3">
                  <c:v>526.82600000000002</c:v>
                </c:pt>
                <c:pt idx="4">
                  <c:v>585.23599999999999</c:v>
                </c:pt>
                <c:pt idx="5">
                  <c:v>637.84990000000005</c:v>
                </c:pt>
                <c:pt idx="6">
                  <c:v>672.35220000000004</c:v>
                </c:pt>
                <c:pt idx="7">
                  <c:v>740.88400000000001</c:v>
                </c:pt>
                <c:pt idx="8">
                  <c:v>805.82389999999998</c:v>
                </c:pt>
                <c:pt idx="9">
                  <c:v>862.52809999999999</c:v>
                </c:pt>
                <c:pt idx="10">
                  <c:v>911.44460000000004</c:v>
                </c:pt>
                <c:pt idx="11">
                  <c:v>953.94299999999998</c:v>
                </c:pt>
                <c:pt idx="12">
                  <c:v>991.60109999999997</c:v>
                </c:pt>
                <c:pt idx="13">
                  <c:v>1026.1832999999999</c:v>
                </c:pt>
                <c:pt idx="14">
                  <c:v>1059.4617000000001</c:v>
                </c:pt>
                <c:pt idx="15">
                  <c:v>1092.1206</c:v>
                </c:pt>
                <c:pt idx="16">
                  <c:v>1111.6534999999999</c:v>
                </c:pt>
                <c:pt idx="17">
                  <c:v>1156.415</c:v>
                </c:pt>
                <c:pt idx="18">
                  <c:v>1201.9553000000001</c:v>
                </c:pt>
                <c:pt idx="19">
                  <c:v>1243.9534000000001</c:v>
                </c:pt>
                <c:pt idx="20">
                  <c:v>1281.3166000000001</c:v>
                </c:pt>
                <c:pt idx="21">
                  <c:v>1314.1984</c:v>
                </c:pt>
                <c:pt idx="22">
                  <c:v>1342.9380000000001</c:v>
                </c:pt>
                <c:pt idx="23">
                  <c:v>1367.9206999999999</c:v>
                </c:pt>
                <c:pt idx="24">
                  <c:v>1389.4956</c:v>
                </c:pt>
                <c:pt idx="25">
                  <c:v>1408.0518</c:v>
                </c:pt>
                <c:pt idx="26">
                  <c:v>1418.1773000000001</c:v>
                </c:pt>
                <c:pt idx="27">
                  <c:v>1433.7699</c:v>
                </c:pt>
                <c:pt idx="28">
                  <c:v>1446.9422</c:v>
                </c:pt>
                <c:pt idx="29">
                  <c:v>1457.8662999999999</c:v>
                </c:pt>
                <c:pt idx="30">
                  <c:v>1466.9546</c:v>
                </c:pt>
                <c:pt idx="31">
                  <c:v>1474.5364999999999</c:v>
                </c:pt>
                <c:pt idx="32">
                  <c:v>1480.8844999999999</c:v>
                </c:pt>
                <c:pt idx="33">
                  <c:v>1486.2</c:v>
                </c:pt>
                <c:pt idx="34">
                  <c:v>1490.6676</c:v>
                </c:pt>
                <c:pt idx="35">
                  <c:v>1494.4278999999999</c:v>
                </c:pt>
                <c:pt idx="36">
                  <c:v>1497.5835</c:v>
                </c:pt>
                <c:pt idx="37">
                  <c:v>1500.2419</c:v>
                </c:pt>
                <c:pt idx="38">
                  <c:v>1502.4716000000001</c:v>
                </c:pt>
                <c:pt idx="39">
                  <c:v>1504.3524</c:v>
                </c:pt>
                <c:pt idx="40">
                  <c:v>1505.9272000000001</c:v>
                </c:pt>
                <c:pt idx="41">
                  <c:v>1507.2546</c:v>
                </c:pt>
                <c:pt idx="42">
                  <c:v>1508.3742999999999</c:v>
                </c:pt>
                <c:pt idx="43">
                  <c:v>1509.3171</c:v>
                </c:pt>
                <c:pt idx="44">
                  <c:v>1509.4156</c:v>
                </c:pt>
                <c:pt idx="45">
                  <c:v>1498.6181999999999</c:v>
                </c:pt>
                <c:pt idx="46">
                  <c:v>1487.7029</c:v>
                </c:pt>
                <c:pt idx="47">
                  <c:v>1478.2528</c:v>
                </c:pt>
                <c:pt idx="48">
                  <c:v>1470.1265000000001</c:v>
                </c:pt>
                <c:pt idx="49">
                  <c:v>1463.1121000000001</c:v>
                </c:pt>
                <c:pt idx="50">
                  <c:v>1457.0614</c:v>
                </c:pt>
                <c:pt idx="51">
                  <c:v>1451.8541</c:v>
                </c:pt>
                <c:pt idx="52">
                  <c:v>1447.3838000000001</c:v>
                </c:pt>
                <c:pt idx="53">
                  <c:v>1443.5552</c:v>
                </c:pt>
                <c:pt idx="54">
                  <c:v>1440.2702999999999</c:v>
                </c:pt>
                <c:pt idx="55">
                  <c:v>1437.4539</c:v>
                </c:pt>
                <c:pt idx="56">
                  <c:v>1435.0544</c:v>
                </c:pt>
                <c:pt idx="57">
                  <c:v>1433.001</c:v>
                </c:pt>
                <c:pt idx="58">
                  <c:v>1431.2438999999999</c:v>
                </c:pt>
                <c:pt idx="59">
                  <c:v>1429.7425000000001</c:v>
                </c:pt>
                <c:pt idx="60">
                  <c:v>1428.4595999999999</c:v>
                </c:pt>
                <c:pt idx="61">
                  <c:v>1427.3524</c:v>
                </c:pt>
                <c:pt idx="62">
                  <c:v>1426.4096999999999</c:v>
                </c:pt>
                <c:pt idx="63">
                  <c:v>1425.6079999999999</c:v>
                </c:pt>
                <c:pt idx="64">
                  <c:v>1424.9159999999999</c:v>
                </c:pt>
                <c:pt idx="65">
                  <c:v>1424.3190999999999</c:v>
                </c:pt>
                <c:pt idx="66">
                  <c:v>1423.8181999999999</c:v>
                </c:pt>
                <c:pt idx="67">
                  <c:v>1423.3882000000001</c:v>
                </c:pt>
                <c:pt idx="68">
                  <c:v>1423.0204000000001</c:v>
                </c:pt>
                <c:pt idx="69">
                  <c:v>1422.6939</c:v>
                </c:pt>
                <c:pt idx="70">
                  <c:v>1422.4173000000001</c:v>
                </c:pt>
                <c:pt idx="71">
                  <c:v>1422.1851999999999</c:v>
                </c:pt>
                <c:pt idx="72">
                  <c:v>1421.9811999999999</c:v>
                </c:pt>
                <c:pt idx="73">
                  <c:v>1421.8010999999999</c:v>
                </c:pt>
                <c:pt idx="74">
                  <c:v>1421.6559999999999</c:v>
                </c:pt>
                <c:pt idx="75">
                  <c:v>1421.5311999999999</c:v>
                </c:pt>
                <c:pt idx="76">
                  <c:v>1421.4238</c:v>
                </c:pt>
                <c:pt idx="77">
                  <c:v>1421.3341</c:v>
                </c:pt>
                <c:pt idx="78">
                  <c:v>1421.2474</c:v>
                </c:pt>
                <c:pt idx="79">
                  <c:v>1421.1754000000001</c:v>
                </c:pt>
                <c:pt idx="80">
                  <c:v>1421.1188</c:v>
                </c:pt>
                <c:pt idx="81">
                  <c:v>1421.0635</c:v>
                </c:pt>
                <c:pt idx="82">
                  <c:v>1421.0215000000001</c:v>
                </c:pt>
                <c:pt idx="83">
                  <c:v>1420.9802999999999</c:v>
                </c:pt>
                <c:pt idx="84">
                  <c:v>1420.9530999999999</c:v>
                </c:pt>
                <c:pt idx="85">
                  <c:v>1420.9263000000001</c:v>
                </c:pt>
                <c:pt idx="86">
                  <c:v>1420.8997999999999</c:v>
                </c:pt>
                <c:pt idx="87">
                  <c:v>1420.8737000000001</c:v>
                </c:pt>
                <c:pt idx="88">
                  <c:v>1420.8598</c:v>
                </c:pt>
                <c:pt idx="89">
                  <c:v>1420.846</c:v>
                </c:pt>
                <c:pt idx="90">
                  <c:v>1420.8323</c:v>
                </c:pt>
                <c:pt idx="91">
                  <c:v>1420.8187</c:v>
                </c:pt>
                <c:pt idx="92">
                  <c:v>1420.8052</c:v>
                </c:pt>
                <c:pt idx="93">
                  <c:v>1420.7918</c:v>
                </c:pt>
                <c:pt idx="94">
                  <c:v>1420.7913000000001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89-45B3-9CE4-36DCD7AFF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902208"/>
        <c:axId val="104042880"/>
      </c:scatterChart>
      <c:valAx>
        <c:axId val="103902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600"/>
                </a:pPr>
                <a:r>
                  <a:rPr lang="pt-BR" sz="1600"/>
                  <a:t>Tempo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600" b="0"/>
            </a:pPr>
            <a:endParaRPr lang="pt-BR"/>
          </a:p>
        </c:txPr>
        <c:crossAx val="104042880"/>
        <c:crosses val="autoZero"/>
        <c:crossBetween val="midCat"/>
      </c:valAx>
      <c:valAx>
        <c:axId val="1040428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pt-BR" sz="1800"/>
                  <a:t>Temperatura</a:t>
                </a:r>
                <a:r>
                  <a:rPr lang="pt-BR" sz="1800" baseline="0"/>
                  <a:t> (K)</a:t>
                </a:r>
                <a:endParaRPr lang="pt-BR" sz="1800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600"/>
            </a:pPr>
            <a:endParaRPr lang="pt-BR"/>
          </a:p>
        </c:txPr>
        <c:crossAx val="103902208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845440350930863"/>
          <c:y val="0.74552330433827363"/>
          <c:w val="0.27268876660817404"/>
          <c:h val="9.7485226720110812E-2"/>
        </c:manualLayout>
      </c:layout>
      <c:overlay val="1"/>
      <c:spPr>
        <a:solidFill>
          <a:schemeClr val="bg1"/>
        </a:solidFill>
        <a:ln>
          <a:solidFill>
            <a:sysClr val="windowText" lastClr="000000"/>
          </a:solidFill>
        </a:ln>
      </c:spPr>
      <c:txPr>
        <a:bodyPr/>
        <a:lstStyle/>
        <a:p>
          <a:pPr>
            <a:defRPr sz="1400"/>
          </a:pPr>
          <a:endParaRPr lang="pt-BR"/>
        </a:p>
      </c:txPr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Ponto 4 - X=0,25 m / Y = 0,10 m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'IndepMalha 200s'!$C$330:$E$330</c:f>
              <c:strCache>
                <c:ptCount val="1"/>
                <c:pt idx="0">
                  <c:v>TDMA with ADI 241x241 - 200s</c:v>
                </c:pt>
              </c:strCache>
            </c:strRef>
          </c:tx>
          <c:marker>
            <c:symbol val="circle"/>
            <c:size val="9"/>
            <c:spPr>
              <a:solidFill>
                <a:schemeClr val="bg1"/>
              </a:solidFill>
              <a:ln w="22225"/>
            </c:spPr>
          </c:marker>
          <c:xVal>
            <c:numRef>
              <c:f>'IndepMalha 200s'!$B$339:$B$433</c:f>
              <c:numCache>
                <c:formatCode>General</c:formatCode>
                <c:ptCount val="95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200s'!$E$339:$E$433</c:f>
              <c:numCache>
                <c:formatCode>0.00</c:formatCode>
                <c:ptCount val="95"/>
                <c:pt idx="0">
                  <c:v>300</c:v>
                </c:pt>
                <c:pt idx="1">
                  <c:v>345.93349999999998</c:v>
                </c:pt>
                <c:pt idx="2">
                  <c:v>406.56509999999997</c:v>
                </c:pt>
                <c:pt idx="3">
                  <c:v>465.62419999999997</c:v>
                </c:pt>
                <c:pt idx="4">
                  <c:v>520.10829999999999</c:v>
                </c:pt>
                <c:pt idx="5">
                  <c:v>570.40530000000001</c:v>
                </c:pt>
                <c:pt idx="6">
                  <c:v>603.86379999999997</c:v>
                </c:pt>
                <c:pt idx="7">
                  <c:v>661.16790000000003</c:v>
                </c:pt>
                <c:pt idx="8">
                  <c:v>721.6327</c:v>
                </c:pt>
                <c:pt idx="9">
                  <c:v>779.46860000000004</c:v>
                </c:pt>
                <c:pt idx="10">
                  <c:v>831.76729999999998</c:v>
                </c:pt>
                <c:pt idx="11">
                  <c:v>877.77750000000003</c:v>
                </c:pt>
                <c:pt idx="12">
                  <c:v>917.97029999999995</c:v>
                </c:pt>
                <c:pt idx="13">
                  <c:v>953.41639999999995</c:v>
                </c:pt>
                <c:pt idx="14">
                  <c:v>985.37099999999998</c:v>
                </c:pt>
                <c:pt idx="15">
                  <c:v>1015.5645</c:v>
                </c:pt>
                <c:pt idx="16">
                  <c:v>1034.7198000000001</c:v>
                </c:pt>
                <c:pt idx="17">
                  <c:v>1075.037</c:v>
                </c:pt>
                <c:pt idx="18">
                  <c:v>1121.9837</c:v>
                </c:pt>
                <c:pt idx="19">
                  <c:v>1170.7577000000001</c:v>
                </c:pt>
                <c:pt idx="20">
                  <c:v>1216.2962</c:v>
                </c:pt>
                <c:pt idx="21">
                  <c:v>1256.3503000000001</c:v>
                </c:pt>
                <c:pt idx="22">
                  <c:v>1291.3583000000001</c:v>
                </c:pt>
                <c:pt idx="23">
                  <c:v>1321.7742000000001</c:v>
                </c:pt>
                <c:pt idx="24">
                  <c:v>1348.0671</c:v>
                </c:pt>
                <c:pt idx="25">
                  <c:v>1370.6446000000001</c:v>
                </c:pt>
                <c:pt idx="26">
                  <c:v>1382.9798000000001</c:v>
                </c:pt>
                <c:pt idx="27">
                  <c:v>1400.5197000000001</c:v>
                </c:pt>
                <c:pt idx="28">
                  <c:v>1415.5136</c:v>
                </c:pt>
                <c:pt idx="29">
                  <c:v>1428.2313999999999</c:v>
                </c:pt>
                <c:pt idx="30">
                  <c:v>1438.9957999999999</c:v>
                </c:pt>
                <c:pt idx="31">
                  <c:v>1448.1253999999999</c:v>
                </c:pt>
                <c:pt idx="32">
                  <c:v>1455.8387</c:v>
                </c:pt>
                <c:pt idx="33">
                  <c:v>1462.3493000000001</c:v>
                </c:pt>
                <c:pt idx="34">
                  <c:v>1467.8364999999999</c:v>
                </c:pt>
                <c:pt idx="35">
                  <c:v>1472.4791</c:v>
                </c:pt>
                <c:pt idx="36">
                  <c:v>1476.3960999999999</c:v>
                </c:pt>
                <c:pt idx="37">
                  <c:v>1479.6895</c:v>
                </c:pt>
                <c:pt idx="38">
                  <c:v>1482.4686999999999</c:v>
                </c:pt>
                <c:pt idx="39">
                  <c:v>1484.8257000000001</c:v>
                </c:pt>
                <c:pt idx="40">
                  <c:v>1486.8135</c:v>
                </c:pt>
                <c:pt idx="41">
                  <c:v>1488.472</c:v>
                </c:pt>
                <c:pt idx="42">
                  <c:v>1489.8918000000001</c:v>
                </c:pt>
                <c:pt idx="43">
                  <c:v>1491.0685000000001</c:v>
                </c:pt>
                <c:pt idx="44">
                  <c:v>1491.1926000000001</c:v>
                </c:pt>
                <c:pt idx="45">
                  <c:v>1489.4822999999999</c:v>
                </c:pt>
                <c:pt idx="46">
                  <c:v>1483.8888999999999</c:v>
                </c:pt>
                <c:pt idx="47">
                  <c:v>1477.3855000000001</c:v>
                </c:pt>
                <c:pt idx="48">
                  <c:v>1471.1596</c:v>
                </c:pt>
                <c:pt idx="49">
                  <c:v>1465.595</c:v>
                </c:pt>
                <c:pt idx="50">
                  <c:v>1460.7155</c:v>
                </c:pt>
                <c:pt idx="51">
                  <c:v>1456.5099</c:v>
                </c:pt>
                <c:pt idx="52">
                  <c:v>1452.8751999999999</c:v>
                </c:pt>
                <c:pt idx="53">
                  <c:v>1449.7673</c:v>
                </c:pt>
                <c:pt idx="54">
                  <c:v>1447.1098999999999</c:v>
                </c:pt>
                <c:pt idx="55">
                  <c:v>1444.8323</c:v>
                </c:pt>
                <c:pt idx="56">
                  <c:v>1442.9023</c:v>
                </c:pt>
                <c:pt idx="57">
                  <c:v>1441.2303999999999</c:v>
                </c:pt>
                <c:pt idx="58">
                  <c:v>1439.8253999999999</c:v>
                </c:pt>
                <c:pt idx="59">
                  <c:v>1438.6068</c:v>
                </c:pt>
                <c:pt idx="60">
                  <c:v>1437.5913</c:v>
                </c:pt>
                <c:pt idx="61">
                  <c:v>1436.7052000000001</c:v>
                </c:pt>
                <c:pt idx="62">
                  <c:v>1435.971</c:v>
                </c:pt>
                <c:pt idx="63">
                  <c:v>1435.3197</c:v>
                </c:pt>
                <c:pt idx="64">
                  <c:v>1434.7784999999999</c:v>
                </c:pt>
                <c:pt idx="65">
                  <c:v>1434.3110999999999</c:v>
                </c:pt>
                <c:pt idx="66">
                  <c:v>1433.9146000000001</c:v>
                </c:pt>
                <c:pt idx="67">
                  <c:v>1433.5864999999999</c:v>
                </c:pt>
                <c:pt idx="68">
                  <c:v>1433.2929999999999</c:v>
                </c:pt>
                <c:pt idx="69">
                  <c:v>1433.0651</c:v>
                </c:pt>
                <c:pt idx="70">
                  <c:v>1432.8397</c:v>
                </c:pt>
                <c:pt idx="71">
                  <c:v>1432.6783</c:v>
                </c:pt>
                <c:pt idx="72">
                  <c:v>1432.5183</c:v>
                </c:pt>
                <c:pt idx="73">
                  <c:v>1432.3915</c:v>
                </c:pt>
                <c:pt idx="74">
                  <c:v>1432.2952</c:v>
                </c:pt>
                <c:pt idx="75">
                  <c:v>1432.1994999999999</c:v>
                </c:pt>
                <c:pt idx="76">
                  <c:v>1432.1042</c:v>
                </c:pt>
                <c:pt idx="77">
                  <c:v>1432.0414000000001</c:v>
                </c:pt>
                <c:pt idx="78">
                  <c:v>1431.9789000000001</c:v>
                </c:pt>
                <c:pt idx="79">
                  <c:v>1431.9165</c:v>
                </c:pt>
                <c:pt idx="80">
                  <c:v>1431.8841</c:v>
                </c:pt>
                <c:pt idx="81">
                  <c:v>1431.8516</c:v>
                </c:pt>
                <c:pt idx="82">
                  <c:v>1431.8193000000001</c:v>
                </c:pt>
                <c:pt idx="83">
                  <c:v>1431.787</c:v>
                </c:pt>
                <c:pt idx="84">
                  <c:v>1431.7547999999999</c:v>
                </c:pt>
                <c:pt idx="85">
                  <c:v>1431.7536</c:v>
                </c:pt>
                <c:pt idx="86">
                  <c:v>1431.7524000000001</c:v>
                </c:pt>
                <c:pt idx="87">
                  <c:v>1431.7511999999999</c:v>
                </c:pt>
                <c:pt idx="88">
                  <c:v>1431.75</c:v>
                </c:pt>
                <c:pt idx="89">
                  <c:v>1431.7487000000001</c:v>
                </c:pt>
                <c:pt idx="90">
                  <c:v>1431.7474999999999</c:v>
                </c:pt>
                <c:pt idx="91">
                  <c:v>1431.7463</c:v>
                </c:pt>
                <c:pt idx="92">
                  <c:v>1431.7451000000001</c:v>
                </c:pt>
                <c:pt idx="93">
                  <c:v>1431.7438999999999</c:v>
                </c:pt>
                <c:pt idx="94">
                  <c:v>1431.7427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93-4FFE-B923-FE9BB85A945F}"/>
            </c:ext>
          </c:extLst>
        </c:ser>
        <c:ser>
          <c:idx val="0"/>
          <c:order val="1"/>
          <c:tx>
            <c:strRef>
              <c:f>'IndepMalha 200s'!$K$330:$M$330</c:f>
              <c:strCache>
                <c:ptCount val="1"/>
                <c:pt idx="0">
                  <c:v>TDMA with ADI 121x121 - 200s</c:v>
                </c:pt>
              </c:strCache>
            </c:strRef>
          </c:tx>
          <c:xVal>
            <c:numRef>
              <c:f>'IndepMalha 200s'!$J$339:$J$433</c:f>
              <c:numCache>
                <c:formatCode>General</c:formatCode>
                <c:ptCount val="95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200s'!$M$339:$M$433</c:f>
              <c:numCache>
                <c:formatCode>0.00</c:formatCode>
                <c:ptCount val="95"/>
                <c:pt idx="0">
                  <c:v>300</c:v>
                </c:pt>
                <c:pt idx="1">
                  <c:v>349.00729999999999</c:v>
                </c:pt>
                <c:pt idx="2">
                  <c:v>412.10829999999999</c:v>
                </c:pt>
                <c:pt idx="3">
                  <c:v>473.11939999999998</c:v>
                </c:pt>
                <c:pt idx="4">
                  <c:v>529.32380000000001</c:v>
                </c:pt>
                <c:pt idx="5">
                  <c:v>581.24639999999999</c:v>
                </c:pt>
                <c:pt idx="6">
                  <c:v>615.81700000000001</c:v>
                </c:pt>
                <c:pt idx="7">
                  <c:v>674.38990000000001</c:v>
                </c:pt>
                <c:pt idx="8">
                  <c:v>735.74950000000001</c:v>
                </c:pt>
                <c:pt idx="9">
                  <c:v>793.98209999999995</c:v>
                </c:pt>
                <c:pt idx="10">
                  <c:v>846.18589999999995</c:v>
                </c:pt>
                <c:pt idx="11">
                  <c:v>891.73180000000002</c:v>
                </c:pt>
                <c:pt idx="12">
                  <c:v>931.33690000000001</c:v>
                </c:pt>
                <c:pt idx="13">
                  <c:v>966.27539999999999</c:v>
                </c:pt>
                <c:pt idx="14">
                  <c:v>998.16780000000006</c:v>
                </c:pt>
                <c:pt idx="15">
                  <c:v>1030.2859000000001</c:v>
                </c:pt>
                <c:pt idx="16">
                  <c:v>1051.8217</c:v>
                </c:pt>
                <c:pt idx="17">
                  <c:v>1095.3275000000001</c:v>
                </c:pt>
                <c:pt idx="18">
                  <c:v>1144.8559</c:v>
                </c:pt>
                <c:pt idx="19">
                  <c:v>1194.5659000000001</c:v>
                </c:pt>
                <c:pt idx="20">
                  <c:v>1239.3783000000001</c:v>
                </c:pt>
                <c:pt idx="21">
                  <c:v>1278.8362</c:v>
                </c:pt>
                <c:pt idx="22">
                  <c:v>1313.2705000000001</c:v>
                </c:pt>
                <c:pt idx="23">
                  <c:v>1343.1031</c:v>
                </c:pt>
                <c:pt idx="24">
                  <c:v>1368.7592</c:v>
                </c:pt>
                <c:pt idx="25">
                  <c:v>1390.729</c:v>
                </c:pt>
                <c:pt idx="26">
                  <c:v>1402.6815999999999</c:v>
                </c:pt>
                <c:pt idx="27">
                  <c:v>1419.6578</c:v>
                </c:pt>
                <c:pt idx="28">
                  <c:v>1434.0778</c:v>
                </c:pt>
                <c:pt idx="29">
                  <c:v>1446.2654</c:v>
                </c:pt>
                <c:pt idx="30">
                  <c:v>1456.5572</c:v>
                </c:pt>
                <c:pt idx="31">
                  <c:v>1465.2274</c:v>
                </c:pt>
                <c:pt idx="32">
                  <c:v>1472.5295000000001</c:v>
                </c:pt>
                <c:pt idx="33">
                  <c:v>1478.6651999999999</c:v>
                </c:pt>
                <c:pt idx="34">
                  <c:v>1483.8323</c:v>
                </c:pt>
                <c:pt idx="35">
                  <c:v>1488.1849</c:v>
                </c:pt>
                <c:pt idx="36">
                  <c:v>1491.8388</c:v>
                </c:pt>
                <c:pt idx="37">
                  <c:v>1494.9174</c:v>
                </c:pt>
                <c:pt idx="38">
                  <c:v>1497.4992</c:v>
                </c:pt>
                <c:pt idx="39">
                  <c:v>1499.6759</c:v>
                </c:pt>
                <c:pt idx="40">
                  <c:v>1501.498</c:v>
                </c:pt>
                <c:pt idx="41">
                  <c:v>1503.0337</c:v>
                </c:pt>
                <c:pt idx="42">
                  <c:v>1504.3284000000001</c:v>
                </c:pt>
                <c:pt idx="43">
                  <c:v>1505.4186</c:v>
                </c:pt>
                <c:pt idx="44">
                  <c:v>1505.5322000000001</c:v>
                </c:pt>
                <c:pt idx="45">
                  <c:v>1499.8678</c:v>
                </c:pt>
                <c:pt idx="46">
                  <c:v>1490.7013999999999</c:v>
                </c:pt>
                <c:pt idx="47">
                  <c:v>1481.0759</c:v>
                </c:pt>
                <c:pt idx="48">
                  <c:v>1472.1564000000001</c:v>
                </c:pt>
                <c:pt idx="49">
                  <c:v>1464.2363</c:v>
                </c:pt>
                <c:pt idx="50">
                  <c:v>1457.3282999999999</c:v>
                </c:pt>
                <c:pt idx="51">
                  <c:v>1451.3543</c:v>
                </c:pt>
                <c:pt idx="52">
                  <c:v>1446.2134000000001</c:v>
                </c:pt>
                <c:pt idx="53">
                  <c:v>1441.8037999999999</c:v>
                </c:pt>
                <c:pt idx="54">
                  <c:v>1438.0164</c:v>
                </c:pt>
                <c:pt idx="55">
                  <c:v>1434.7666999999999</c:v>
                </c:pt>
                <c:pt idx="56">
                  <c:v>1431.9962</c:v>
                </c:pt>
                <c:pt idx="57">
                  <c:v>1429.624</c:v>
                </c:pt>
                <c:pt idx="58">
                  <c:v>1427.5934999999999</c:v>
                </c:pt>
                <c:pt idx="59">
                  <c:v>1425.8576</c:v>
                </c:pt>
                <c:pt idx="60">
                  <c:v>1424.3742999999999</c:v>
                </c:pt>
                <c:pt idx="61">
                  <c:v>1423.0938000000001</c:v>
                </c:pt>
                <c:pt idx="62">
                  <c:v>1422.0032000000001</c:v>
                </c:pt>
                <c:pt idx="63">
                  <c:v>1421.0758000000001</c:v>
                </c:pt>
                <c:pt idx="64">
                  <c:v>1420.2753</c:v>
                </c:pt>
                <c:pt idx="65">
                  <c:v>1419.5847000000001</c:v>
                </c:pt>
                <c:pt idx="66">
                  <c:v>1419.0051000000001</c:v>
                </c:pt>
                <c:pt idx="67">
                  <c:v>1418.5073</c:v>
                </c:pt>
                <c:pt idx="68">
                  <c:v>1418.0816</c:v>
                </c:pt>
                <c:pt idx="69">
                  <c:v>1417.7040999999999</c:v>
                </c:pt>
                <c:pt idx="70">
                  <c:v>1417.3842</c:v>
                </c:pt>
                <c:pt idx="71">
                  <c:v>1417.1159</c:v>
                </c:pt>
                <c:pt idx="72">
                  <c:v>1416.8797</c:v>
                </c:pt>
                <c:pt idx="73">
                  <c:v>1416.6715999999999</c:v>
                </c:pt>
                <c:pt idx="74">
                  <c:v>1416.5039999999999</c:v>
                </c:pt>
                <c:pt idx="75">
                  <c:v>1416.3595</c:v>
                </c:pt>
                <c:pt idx="76">
                  <c:v>1416.2356</c:v>
                </c:pt>
                <c:pt idx="77">
                  <c:v>1416.1316999999999</c:v>
                </c:pt>
                <c:pt idx="78">
                  <c:v>1416.0313000000001</c:v>
                </c:pt>
                <c:pt idx="79">
                  <c:v>1415.9484</c:v>
                </c:pt>
                <c:pt idx="80">
                  <c:v>1415.8829000000001</c:v>
                </c:pt>
                <c:pt idx="81">
                  <c:v>1415.8189</c:v>
                </c:pt>
                <c:pt idx="82">
                  <c:v>1415.7706000000001</c:v>
                </c:pt>
                <c:pt idx="83">
                  <c:v>1415.7231999999999</c:v>
                </c:pt>
                <c:pt idx="84">
                  <c:v>1415.6918000000001</c:v>
                </c:pt>
                <c:pt idx="85">
                  <c:v>1415.6606999999999</c:v>
                </c:pt>
                <c:pt idx="86">
                  <c:v>1415.6301000000001</c:v>
                </c:pt>
                <c:pt idx="87">
                  <c:v>1415.5998</c:v>
                </c:pt>
                <c:pt idx="88">
                  <c:v>1415.5841</c:v>
                </c:pt>
                <c:pt idx="89">
                  <c:v>1415.5685000000001</c:v>
                </c:pt>
                <c:pt idx="90">
                  <c:v>1415.5530000000001</c:v>
                </c:pt>
                <c:pt idx="91">
                  <c:v>1415.5376000000001</c:v>
                </c:pt>
                <c:pt idx="92">
                  <c:v>1415.5223000000001</c:v>
                </c:pt>
                <c:pt idx="93">
                  <c:v>1415.5071</c:v>
                </c:pt>
                <c:pt idx="94">
                  <c:v>1415.5065999999999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93-4FFE-B923-FE9BB85A9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147584"/>
        <c:axId val="102532992"/>
      </c:scatterChart>
      <c:valAx>
        <c:axId val="1021475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600"/>
                </a:pPr>
                <a:r>
                  <a:rPr lang="pt-BR" sz="1600"/>
                  <a:t>Tempo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600" b="0"/>
            </a:pPr>
            <a:endParaRPr lang="pt-BR"/>
          </a:p>
        </c:txPr>
        <c:crossAx val="102532992"/>
        <c:crosses val="autoZero"/>
        <c:crossBetween val="midCat"/>
      </c:valAx>
      <c:valAx>
        <c:axId val="102532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pt-BR" sz="1800"/>
                  <a:t>Temperatura</a:t>
                </a:r>
                <a:r>
                  <a:rPr lang="pt-BR" sz="1800" baseline="0"/>
                  <a:t> (K)</a:t>
                </a:r>
                <a:endParaRPr lang="pt-BR" sz="1800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600"/>
            </a:pPr>
            <a:endParaRPr lang="pt-BR"/>
          </a:p>
        </c:txPr>
        <c:crossAx val="102147584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845440350930874"/>
          <c:y val="0.74552330433827363"/>
          <c:w val="0.27268876660817404"/>
          <c:h val="9.7485226720110812E-2"/>
        </c:manualLayout>
      </c:layout>
      <c:overlay val="1"/>
      <c:spPr>
        <a:solidFill>
          <a:schemeClr val="bg1"/>
        </a:solidFill>
        <a:ln>
          <a:solidFill>
            <a:sysClr val="windowText" lastClr="000000"/>
          </a:solidFill>
        </a:ln>
      </c:spPr>
      <c:txPr>
        <a:bodyPr/>
        <a:lstStyle/>
        <a:p>
          <a:pPr>
            <a:defRPr sz="1400"/>
          </a:pPr>
          <a:endParaRPr lang="pt-BR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Ponto 5 - X=0,50 m / Y = 0,10 m</a:t>
            </a:r>
          </a:p>
        </c:rich>
      </c:tx>
      <c:layout>
        <c:manualLayout>
          <c:xMode val="edge"/>
          <c:yMode val="edge"/>
          <c:x val="0.34306072191922365"/>
          <c:y val="1.2760416317792643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'IndepMalha 200s'!$C$436:$E$436</c:f>
              <c:strCache>
                <c:ptCount val="1"/>
                <c:pt idx="0">
                  <c:v>TDMA with ADI 241x241 - 200s</c:v>
                </c:pt>
              </c:strCache>
            </c:strRef>
          </c:tx>
          <c:marker>
            <c:symbol val="circle"/>
            <c:size val="9"/>
            <c:spPr>
              <a:solidFill>
                <a:schemeClr val="bg1"/>
              </a:solidFill>
              <a:ln w="22225"/>
            </c:spPr>
          </c:marker>
          <c:xVal>
            <c:numRef>
              <c:f>'IndepMalha 200s'!$B$445:$B$539</c:f>
              <c:numCache>
                <c:formatCode>0.00</c:formatCode>
                <c:ptCount val="95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200s'!$E$445:$E$539</c:f>
              <c:numCache>
                <c:formatCode>0.00</c:formatCode>
                <c:ptCount val="95"/>
                <c:pt idx="0">
                  <c:v>300</c:v>
                </c:pt>
                <c:pt idx="1">
                  <c:v>345.08749999999998</c:v>
                </c:pt>
                <c:pt idx="2">
                  <c:v>403.79910000000001</c:v>
                </c:pt>
                <c:pt idx="3">
                  <c:v>460.48289999999997</c:v>
                </c:pt>
                <c:pt idx="4">
                  <c:v>512.43460000000005</c:v>
                </c:pt>
                <c:pt idx="5">
                  <c:v>560.13369999999998</c:v>
                </c:pt>
                <c:pt idx="6">
                  <c:v>591.77949999999998</c:v>
                </c:pt>
                <c:pt idx="7">
                  <c:v>646.89300000000003</c:v>
                </c:pt>
                <c:pt idx="8">
                  <c:v>705.64490000000001</c:v>
                </c:pt>
                <c:pt idx="9">
                  <c:v>762.42280000000005</c:v>
                </c:pt>
                <c:pt idx="10">
                  <c:v>814.37059999999997</c:v>
                </c:pt>
                <c:pt idx="11">
                  <c:v>860.56309999999996</c:v>
                </c:pt>
                <c:pt idx="12">
                  <c:v>901.16510000000005</c:v>
                </c:pt>
                <c:pt idx="13">
                  <c:v>936.93730000000005</c:v>
                </c:pt>
                <c:pt idx="14">
                  <c:v>968.8329</c:v>
                </c:pt>
                <c:pt idx="15">
                  <c:v>997.91240000000005</c:v>
                </c:pt>
                <c:pt idx="16">
                  <c:v>1014.753</c:v>
                </c:pt>
                <c:pt idx="17">
                  <c:v>1049.5455999999999</c:v>
                </c:pt>
                <c:pt idx="18">
                  <c:v>1091.4822999999999</c:v>
                </c:pt>
                <c:pt idx="19">
                  <c:v>1137.2317</c:v>
                </c:pt>
                <c:pt idx="20">
                  <c:v>1182.5791999999999</c:v>
                </c:pt>
                <c:pt idx="21">
                  <c:v>1223.9169999999999</c:v>
                </c:pt>
                <c:pt idx="22">
                  <c:v>1260.3936000000001</c:v>
                </c:pt>
                <c:pt idx="23">
                  <c:v>1292.5377000000001</c:v>
                </c:pt>
                <c:pt idx="24">
                  <c:v>1320.7647999999999</c:v>
                </c:pt>
                <c:pt idx="25">
                  <c:v>1345.3942</c:v>
                </c:pt>
                <c:pt idx="26">
                  <c:v>1358.998</c:v>
                </c:pt>
                <c:pt idx="27">
                  <c:v>1378.6107</c:v>
                </c:pt>
                <c:pt idx="28">
                  <c:v>1395.6168</c:v>
                </c:pt>
                <c:pt idx="29">
                  <c:v>1410.2421999999999</c:v>
                </c:pt>
                <c:pt idx="30">
                  <c:v>1422.7819</c:v>
                </c:pt>
                <c:pt idx="31">
                  <c:v>1433.5413000000001</c:v>
                </c:pt>
                <c:pt idx="32">
                  <c:v>1442.7252000000001</c:v>
                </c:pt>
                <c:pt idx="33">
                  <c:v>1450.5459000000001</c:v>
                </c:pt>
                <c:pt idx="34">
                  <c:v>1457.1868999999999</c:v>
                </c:pt>
                <c:pt idx="35">
                  <c:v>1462.8416</c:v>
                </c:pt>
                <c:pt idx="36">
                  <c:v>1467.6378</c:v>
                </c:pt>
                <c:pt idx="37">
                  <c:v>1471.6886</c:v>
                </c:pt>
                <c:pt idx="38">
                  <c:v>1475.1196</c:v>
                </c:pt>
                <c:pt idx="39">
                  <c:v>1478.0382</c:v>
                </c:pt>
                <c:pt idx="40">
                  <c:v>1480.5062</c:v>
                </c:pt>
                <c:pt idx="41">
                  <c:v>1482.5696</c:v>
                </c:pt>
                <c:pt idx="42">
                  <c:v>1484.3393000000001</c:v>
                </c:pt>
                <c:pt idx="43">
                  <c:v>1485.8081999999999</c:v>
                </c:pt>
                <c:pt idx="44">
                  <c:v>1485.9631999999999</c:v>
                </c:pt>
                <c:pt idx="45">
                  <c:v>1484.9878000000001</c:v>
                </c:pt>
                <c:pt idx="46">
                  <c:v>1480.0705</c:v>
                </c:pt>
                <c:pt idx="47">
                  <c:v>1474.2384</c:v>
                </c:pt>
                <c:pt idx="48">
                  <c:v>1468.6826000000001</c:v>
                </c:pt>
                <c:pt idx="49">
                  <c:v>1463.7603999999999</c:v>
                </c:pt>
                <c:pt idx="50">
                  <c:v>1459.4757999999999</c:v>
                </c:pt>
                <c:pt idx="51">
                  <c:v>1455.7982</c:v>
                </c:pt>
                <c:pt idx="52">
                  <c:v>1452.6237000000001</c:v>
                </c:pt>
                <c:pt idx="53">
                  <c:v>1449.9055000000001</c:v>
                </c:pt>
                <c:pt idx="54">
                  <c:v>1447.5741</c:v>
                </c:pt>
                <c:pt idx="55">
                  <c:v>1445.5672</c:v>
                </c:pt>
                <c:pt idx="56">
                  <c:v>1443.8579999999999</c:v>
                </c:pt>
                <c:pt idx="57">
                  <c:v>1442.3695</c:v>
                </c:pt>
                <c:pt idx="58">
                  <c:v>1441.1119000000001</c:v>
                </c:pt>
                <c:pt idx="59">
                  <c:v>1440.0154</c:v>
                </c:pt>
                <c:pt idx="60">
                  <c:v>1439.0971</c:v>
                </c:pt>
                <c:pt idx="61">
                  <c:v>1438.2922000000001</c:v>
                </c:pt>
                <c:pt idx="62">
                  <c:v>1437.6225999999999</c:v>
                </c:pt>
                <c:pt idx="63">
                  <c:v>1437.0262</c:v>
                </c:pt>
                <c:pt idx="64">
                  <c:v>1436.5291</c:v>
                </c:pt>
                <c:pt idx="65">
                  <c:v>1436.0984000000001</c:v>
                </c:pt>
                <c:pt idx="66">
                  <c:v>1435.732</c:v>
                </c:pt>
                <c:pt idx="67">
                  <c:v>1435.4282000000001</c:v>
                </c:pt>
                <c:pt idx="68">
                  <c:v>1435.1559</c:v>
                </c:pt>
                <c:pt idx="69">
                  <c:v>1434.9440999999999</c:v>
                </c:pt>
                <c:pt idx="70">
                  <c:v>1434.7343000000001</c:v>
                </c:pt>
                <c:pt idx="71">
                  <c:v>1434.5839000000001</c:v>
                </c:pt>
                <c:pt idx="72">
                  <c:v>1434.4345000000001</c:v>
                </c:pt>
                <c:pt idx="73">
                  <c:v>1434.3161</c:v>
                </c:pt>
                <c:pt idx="74">
                  <c:v>1434.2262000000001</c:v>
                </c:pt>
                <c:pt idx="75">
                  <c:v>1434.1366</c:v>
                </c:pt>
                <c:pt idx="76">
                  <c:v>1434.0473999999999</c:v>
                </c:pt>
                <c:pt idx="77">
                  <c:v>1433.9885999999999</c:v>
                </c:pt>
                <c:pt idx="78">
                  <c:v>1433.93</c:v>
                </c:pt>
                <c:pt idx="79">
                  <c:v>1433.8715</c:v>
                </c:pt>
                <c:pt idx="80">
                  <c:v>1433.8411000000001</c:v>
                </c:pt>
                <c:pt idx="81">
                  <c:v>1433.8107</c:v>
                </c:pt>
                <c:pt idx="82">
                  <c:v>1433.7804000000001</c:v>
                </c:pt>
                <c:pt idx="83">
                  <c:v>1433.7501</c:v>
                </c:pt>
                <c:pt idx="84">
                  <c:v>1433.7198000000001</c:v>
                </c:pt>
                <c:pt idx="85">
                  <c:v>1433.7186999999999</c:v>
                </c:pt>
                <c:pt idx="86">
                  <c:v>1433.7175</c:v>
                </c:pt>
                <c:pt idx="87">
                  <c:v>1433.7164</c:v>
                </c:pt>
                <c:pt idx="88">
                  <c:v>1433.7153000000001</c:v>
                </c:pt>
                <c:pt idx="89">
                  <c:v>1433.7140999999999</c:v>
                </c:pt>
                <c:pt idx="90">
                  <c:v>1433.713</c:v>
                </c:pt>
                <c:pt idx="91">
                  <c:v>1433.7119</c:v>
                </c:pt>
                <c:pt idx="92">
                  <c:v>1433.7107000000001</c:v>
                </c:pt>
                <c:pt idx="93">
                  <c:v>1433.7095999999999</c:v>
                </c:pt>
                <c:pt idx="94">
                  <c:v>1433.7085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73-459A-95CB-CDCDDA1C5765}"/>
            </c:ext>
          </c:extLst>
        </c:ser>
        <c:ser>
          <c:idx val="0"/>
          <c:order val="1"/>
          <c:tx>
            <c:strRef>
              <c:f>'IndepMalha 200s'!$K$436:$M$436</c:f>
              <c:strCache>
                <c:ptCount val="1"/>
                <c:pt idx="0">
                  <c:v>TDMA with ADI 121x121 - 200s</c:v>
                </c:pt>
              </c:strCache>
            </c:strRef>
          </c:tx>
          <c:xVal>
            <c:numRef>
              <c:f>'IndepMalha 200s'!$J$445:$J$539</c:f>
              <c:numCache>
                <c:formatCode>0.00</c:formatCode>
                <c:ptCount val="95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200s'!$M$445:$M$539</c:f>
              <c:numCache>
                <c:formatCode>0.00</c:formatCode>
                <c:ptCount val="95"/>
                <c:pt idx="0">
                  <c:v>300</c:v>
                </c:pt>
                <c:pt idx="1">
                  <c:v>347.96519999999998</c:v>
                </c:pt>
                <c:pt idx="2">
                  <c:v>409.16359999999997</c:v>
                </c:pt>
                <c:pt idx="3">
                  <c:v>467.92630000000003</c:v>
                </c:pt>
                <c:pt idx="4">
                  <c:v>521.73990000000003</c:v>
                </c:pt>
                <c:pt idx="5">
                  <c:v>571.20510000000002</c:v>
                </c:pt>
                <c:pt idx="6">
                  <c:v>604.06119999999999</c:v>
                </c:pt>
                <c:pt idx="7">
                  <c:v>660.72349999999994</c:v>
                </c:pt>
                <c:pt idx="8">
                  <c:v>720.75149999999996</c:v>
                </c:pt>
                <c:pt idx="9">
                  <c:v>778.37720000000002</c:v>
                </c:pt>
                <c:pt idx="10">
                  <c:v>830.62469999999996</c:v>
                </c:pt>
                <c:pt idx="11">
                  <c:v>876.59339999999997</c:v>
                </c:pt>
                <c:pt idx="12">
                  <c:v>916.63109999999995</c:v>
                </c:pt>
                <c:pt idx="13">
                  <c:v>951.6902</c:v>
                </c:pt>
                <c:pt idx="14">
                  <c:v>982.98879999999997</c:v>
                </c:pt>
                <c:pt idx="15">
                  <c:v>1011.977</c:v>
                </c:pt>
                <c:pt idx="16">
                  <c:v>1029.4275</c:v>
                </c:pt>
                <c:pt idx="17">
                  <c:v>1067.3806999999999</c:v>
                </c:pt>
                <c:pt idx="18">
                  <c:v>1112.2437</c:v>
                </c:pt>
                <c:pt idx="19">
                  <c:v>1160.0995</c:v>
                </c:pt>
                <c:pt idx="20">
                  <c:v>1206.1120000000001</c:v>
                </c:pt>
                <c:pt idx="21">
                  <c:v>1246.9849999999999</c:v>
                </c:pt>
                <c:pt idx="22">
                  <c:v>1283.1744000000001</c:v>
                </c:pt>
                <c:pt idx="23">
                  <c:v>1315.0625</c:v>
                </c:pt>
                <c:pt idx="24">
                  <c:v>1342.9789000000001</c:v>
                </c:pt>
                <c:pt idx="25">
                  <c:v>1367.3104000000001</c:v>
                </c:pt>
                <c:pt idx="26">
                  <c:v>1380.6980000000001</c:v>
                </c:pt>
                <c:pt idx="27">
                  <c:v>1400.0201999999999</c:v>
                </c:pt>
                <c:pt idx="28">
                  <c:v>1416.6980000000001</c:v>
                </c:pt>
                <c:pt idx="29">
                  <c:v>1431.0123000000001</c:v>
                </c:pt>
                <c:pt idx="30">
                  <c:v>1443.2722000000001</c:v>
                </c:pt>
                <c:pt idx="31">
                  <c:v>1453.7307000000001</c:v>
                </c:pt>
                <c:pt idx="32">
                  <c:v>1462.6351999999999</c:v>
                </c:pt>
                <c:pt idx="33">
                  <c:v>1470.1864</c:v>
                </c:pt>
                <c:pt idx="34">
                  <c:v>1476.5941</c:v>
                </c:pt>
                <c:pt idx="35">
                  <c:v>1482.0261</c:v>
                </c:pt>
                <c:pt idx="36">
                  <c:v>1486.6098</c:v>
                </c:pt>
                <c:pt idx="37">
                  <c:v>1490.4879000000001</c:v>
                </c:pt>
                <c:pt idx="38">
                  <c:v>1493.7511999999999</c:v>
                </c:pt>
                <c:pt idx="39">
                  <c:v>1496.5102999999999</c:v>
                </c:pt>
                <c:pt idx="40">
                  <c:v>1498.825</c:v>
                </c:pt>
                <c:pt idx="41">
                  <c:v>1500.7791</c:v>
                </c:pt>
                <c:pt idx="42">
                  <c:v>1502.4290000000001</c:v>
                </c:pt>
                <c:pt idx="43">
                  <c:v>1503.8197</c:v>
                </c:pt>
                <c:pt idx="44">
                  <c:v>1503.9648</c:v>
                </c:pt>
                <c:pt idx="45">
                  <c:v>1498.6827000000001</c:v>
                </c:pt>
                <c:pt idx="46">
                  <c:v>1489.9677999999999</c:v>
                </c:pt>
                <c:pt idx="47">
                  <c:v>1480.8628000000001</c:v>
                </c:pt>
                <c:pt idx="48">
                  <c:v>1472.4909</c:v>
                </c:pt>
                <c:pt idx="49">
                  <c:v>1465.0971</c:v>
                </c:pt>
                <c:pt idx="50">
                  <c:v>1458.6568</c:v>
                </c:pt>
                <c:pt idx="51">
                  <c:v>1453.0714</c:v>
                </c:pt>
                <c:pt idx="52">
                  <c:v>1448.2339999999999</c:v>
                </c:pt>
                <c:pt idx="53">
                  <c:v>1444.0467000000001</c:v>
                </c:pt>
                <c:pt idx="54">
                  <c:v>1440.4102</c:v>
                </c:pt>
                <c:pt idx="55">
                  <c:v>1437.2509</c:v>
                </c:pt>
                <c:pt idx="56">
                  <c:v>1434.5224000000001</c:v>
                </c:pt>
                <c:pt idx="57">
                  <c:v>1432.155</c:v>
                </c:pt>
                <c:pt idx="58">
                  <c:v>1430.1015</c:v>
                </c:pt>
                <c:pt idx="59">
                  <c:v>1428.3235</c:v>
                </c:pt>
                <c:pt idx="60">
                  <c:v>1426.7851000000001</c:v>
                </c:pt>
                <c:pt idx="61">
                  <c:v>1425.4413999999999</c:v>
                </c:pt>
                <c:pt idx="62">
                  <c:v>1424.2843</c:v>
                </c:pt>
                <c:pt idx="63">
                  <c:v>1423.2901999999999</c:v>
                </c:pt>
                <c:pt idx="64">
                  <c:v>1422.4238</c:v>
                </c:pt>
                <c:pt idx="65">
                  <c:v>1421.6697999999999</c:v>
                </c:pt>
                <c:pt idx="66">
                  <c:v>1421.0319</c:v>
                </c:pt>
                <c:pt idx="67">
                  <c:v>1420.4802999999999</c:v>
                </c:pt>
                <c:pt idx="68">
                  <c:v>1420.0054</c:v>
                </c:pt>
                <c:pt idx="69">
                  <c:v>1419.5816</c:v>
                </c:pt>
                <c:pt idx="70">
                  <c:v>1419.2203999999999</c:v>
                </c:pt>
                <c:pt idx="71">
                  <c:v>1418.9160999999999</c:v>
                </c:pt>
                <c:pt idx="72">
                  <c:v>1418.6472000000001</c:v>
                </c:pt>
                <c:pt idx="73">
                  <c:v>1418.4093</c:v>
                </c:pt>
                <c:pt idx="74">
                  <c:v>1418.2168999999999</c:v>
                </c:pt>
                <c:pt idx="75">
                  <c:v>1418.0508</c:v>
                </c:pt>
                <c:pt idx="76">
                  <c:v>1417.9077</c:v>
                </c:pt>
                <c:pt idx="77">
                  <c:v>1417.7876000000001</c:v>
                </c:pt>
                <c:pt idx="78">
                  <c:v>1417.6714999999999</c:v>
                </c:pt>
                <c:pt idx="79">
                  <c:v>1417.5751</c:v>
                </c:pt>
                <c:pt idx="80">
                  <c:v>1417.499</c:v>
                </c:pt>
                <c:pt idx="81">
                  <c:v>1417.4246000000001</c:v>
                </c:pt>
                <c:pt idx="82">
                  <c:v>1417.3681999999999</c:v>
                </c:pt>
                <c:pt idx="83">
                  <c:v>1417.3127999999999</c:v>
                </c:pt>
                <c:pt idx="84">
                  <c:v>1417.2761</c:v>
                </c:pt>
                <c:pt idx="85">
                  <c:v>1417.2399</c:v>
                </c:pt>
                <c:pt idx="86">
                  <c:v>1417.2040999999999</c:v>
                </c:pt>
                <c:pt idx="87">
                  <c:v>1417.1686999999999</c:v>
                </c:pt>
                <c:pt idx="88">
                  <c:v>1417.1501000000001</c:v>
                </c:pt>
                <c:pt idx="89">
                  <c:v>1417.1316999999999</c:v>
                </c:pt>
                <c:pt idx="90">
                  <c:v>1417.1134</c:v>
                </c:pt>
                <c:pt idx="91">
                  <c:v>1417.0952</c:v>
                </c:pt>
                <c:pt idx="92">
                  <c:v>1417.0771</c:v>
                </c:pt>
                <c:pt idx="93">
                  <c:v>1417.0590999999999</c:v>
                </c:pt>
                <c:pt idx="94">
                  <c:v>1417.0583999999999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73-459A-95CB-CDCDDA1C5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812864"/>
        <c:axId val="139814784"/>
      </c:scatterChart>
      <c:valAx>
        <c:axId val="139812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600"/>
                </a:pPr>
                <a:r>
                  <a:rPr lang="pt-BR" sz="1600"/>
                  <a:t>Tempo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600" b="0"/>
            </a:pPr>
            <a:endParaRPr lang="pt-BR"/>
          </a:p>
        </c:txPr>
        <c:crossAx val="139814784"/>
        <c:crosses val="autoZero"/>
        <c:crossBetween val="midCat"/>
      </c:valAx>
      <c:valAx>
        <c:axId val="1398147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pt-BR" sz="1800"/>
                  <a:t>Temperatura</a:t>
                </a:r>
                <a:r>
                  <a:rPr lang="pt-BR" sz="1800" baseline="0"/>
                  <a:t> (K)</a:t>
                </a:r>
                <a:endParaRPr lang="pt-BR" sz="1800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600"/>
            </a:pPr>
            <a:endParaRPr lang="pt-BR"/>
          </a:p>
        </c:txPr>
        <c:crossAx val="139812864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845440350930885"/>
          <c:y val="0.74552330433827363"/>
          <c:w val="0.27268876660817404"/>
          <c:h val="9.7485226720110812E-2"/>
        </c:manualLayout>
      </c:layout>
      <c:overlay val="1"/>
      <c:spPr>
        <a:solidFill>
          <a:schemeClr val="bg1"/>
        </a:solidFill>
        <a:ln>
          <a:solidFill>
            <a:sysClr val="windowText" lastClr="000000"/>
          </a:solidFill>
        </a:ln>
      </c:spPr>
      <c:txPr>
        <a:bodyPr/>
        <a:lstStyle/>
        <a:p>
          <a:pPr>
            <a:defRPr sz="1400"/>
          </a:pPr>
          <a:endParaRPr lang="pt-BR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Ponto 6 - X=0,75 m / Y = 0,10 m</a:t>
            </a:r>
          </a:p>
        </c:rich>
      </c:tx>
      <c:layout>
        <c:manualLayout>
          <c:xMode val="edge"/>
          <c:yMode val="edge"/>
          <c:x val="0.34306072191922377"/>
          <c:y val="1.2760416317792643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'IndepMalha 200s'!$C$542:$E$542</c:f>
              <c:strCache>
                <c:ptCount val="1"/>
                <c:pt idx="0">
                  <c:v>TDMA with ADI 241x241 - 200s</c:v>
                </c:pt>
              </c:strCache>
            </c:strRef>
          </c:tx>
          <c:marker>
            <c:symbol val="circle"/>
            <c:size val="9"/>
            <c:spPr>
              <a:solidFill>
                <a:schemeClr val="bg1"/>
              </a:solidFill>
              <a:ln w="22225"/>
            </c:spPr>
          </c:marker>
          <c:xVal>
            <c:numRef>
              <c:f>'IndepMalha 200s'!$B$551:$B$645</c:f>
              <c:numCache>
                <c:formatCode>0.00</c:formatCode>
                <c:ptCount val="95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200s'!$E$551:$E$645</c:f>
              <c:numCache>
                <c:formatCode>0.00</c:formatCode>
                <c:ptCount val="95"/>
                <c:pt idx="0">
                  <c:v>300</c:v>
                </c:pt>
                <c:pt idx="1">
                  <c:v>345.89139999999998</c:v>
                </c:pt>
                <c:pt idx="2">
                  <c:v>406.4923</c:v>
                </c:pt>
                <c:pt idx="3">
                  <c:v>465.52679999999998</c:v>
                </c:pt>
                <c:pt idx="4">
                  <c:v>519.98940000000005</c:v>
                </c:pt>
                <c:pt idx="5">
                  <c:v>570.26639999999998</c:v>
                </c:pt>
                <c:pt idx="6">
                  <c:v>603.71220000000005</c:v>
                </c:pt>
                <c:pt idx="7">
                  <c:v>661.00120000000004</c:v>
                </c:pt>
                <c:pt idx="8">
                  <c:v>721.45979999999997</c:v>
                </c:pt>
                <c:pt idx="9">
                  <c:v>779.29830000000004</c:v>
                </c:pt>
                <c:pt idx="10">
                  <c:v>831.60599999999999</c:v>
                </c:pt>
                <c:pt idx="11">
                  <c:v>877.62739999999997</c:v>
                </c:pt>
                <c:pt idx="12">
                  <c:v>917.83040000000005</c:v>
                </c:pt>
                <c:pt idx="13">
                  <c:v>953.28359999999998</c:v>
                </c:pt>
                <c:pt idx="14">
                  <c:v>985.23900000000003</c:v>
                </c:pt>
                <c:pt idx="15">
                  <c:v>1015.4184</c:v>
                </c:pt>
                <c:pt idx="16">
                  <c:v>1034.5408</c:v>
                </c:pt>
                <c:pt idx="17">
                  <c:v>1074.8253</c:v>
                </c:pt>
                <c:pt idx="18">
                  <c:v>1121.7426</c:v>
                </c:pt>
                <c:pt idx="19">
                  <c:v>1170.5065999999999</c:v>
                </c:pt>
                <c:pt idx="20">
                  <c:v>1216.0563</c:v>
                </c:pt>
                <c:pt idx="21">
                  <c:v>1256.1231</c:v>
                </c:pt>
                <c:pt idx="22">
                  <c:v>1291.1456000000001</c:v>
                </c:pt>
                <c:pt idx="23">
                  <c:v>1321.5772999999999</c:v>
                </c:pt>
                <c:pt idx="24">
                  <c:v>1347.8867</c:v>
                </c:pt>
                <c:pt idx="25">
                  <c:v>1370.4807000000001</c:v>
                </c:pt>
                <c:pt idx="26">
                  <c:v>1382.8254999999999</c:v>
                </c:pt>
                <c:pt idx="27">
                  <c:v>1400.3807999999999</c:v>
                </c:pt>
                <c:pt idx="28">
                  <c:v>1415.3891000000001</c:v>
                </c:pt>
                <c:pt idx="29">
                  <c:v>1428.1201000000001</c:v>
                </c:pt>
                <c:pt idx="30">
                  <c:v>1438.8964000000001</c:v>
                </c:pt>
                <c:pt idx="31">
                  <c:v>1448.0361</c:v>
                </c:pt>
                <c:pt idx="32">
                  <c:v>1455.7581</c:v>
                </c:pt>
                <c:pt idx="33">
                  <c:v>1462.2763</c:v>
                </c:pt>
                <c:pt idx="34">
                  <c:v>1467.7699</c:v>
                </c:pt>
                <c:pt idx="35">
                  <c:v>1472.4185</c:v>
                </c:pt>
                <c:pt idx="36">
                  <c:v>1476.3400999999999</c:v>
                </c:pt>
                <c:pt idx="37">
                  <c:v>1479.6378999999999</c:v>
                </c:pt>
                <c:pt idx="38">
                  <c:v>1482.4209000000001</c:v>
                </c:pt>
                <c:pt idx="39">
                  <c:v>1484.7808</c:v>
                </c:pt>
                <c:pt idx="40">
                  <c:v>1486.7714000000001</c:v>
                </c:pt>
                <c:pt idx="41">
                  <c:v>1488.4319</c:v>
                </c:pt>
                <c:pt idx="42">
                  <c:v>1489.8539000000001</c:v>
                </c:pt>
                <c:pt idx="43">
                  <c:v>1491.0324000000001</c:v>
                </c:pt>
                <c:pt idx="44">
                  <c:v>1491.1567</c:v>
                </c:pt>
                <c:pt idx="45">
                  <c:v>1489.4511</c:v>
                </c:pt>
                <c:pt idx="46">
                  <c:v>1483.8657000000001</c:v>
                </c:pt>
                <c:pt idx="47">
                  <c:v>1477.3713</c:v>
                </c:pt>
                <c:pt idx="48">
                  <c:v>1471.1547</c:v>
                </c:pt>
                <c:pt idx="49">
                  <c:v>1465.5981999999999</c:v>
                </c:pt>
                <c:pt idx="50">
                  <c:v>1460.7260000000001</c:v>
                </c:pt>
                <c:pt idx="51">
                  <c:v>1456.5261</c:v>
                </c:pt>
                <c:pt idx="52">
                  <c:v>1452.8960999999999</c:v>
                </c:pt>
                <c:pt idx="53">
                  <c:v>1449.7916</c:v>
                </c:pt>
                <c:pt idx="54">
                  <c:v>1447.1369</c:v>
                </c:pt>
                <c:pt idx="55">
                  <c:v>1444.8614</c:v>
                </c:pt>
                <c:pt idx="56">
                  <c:v>1442.9328</c:v>
                </c:pt>
                <c:pt idx="57">
                  <c:v>1441.2621999999999</c:v>
                </c:pt>
                <c:pt idx="58">
                  <c:v>1439.8579999999999</c:v>
                </c:pt>
                <c:pt idx="59">
                  <c:v>1438.64</c:v>
                </c:pt>
                <c:pt idx="60">
                  <c:v>1437.6249</c:v>
                </c:pt>
                <c:pt idx="61">
                  <c:v>1436.7391</c:v>
                </c:pt>
                <c:pt idx="62">
                  <c:v>1436.0051000000001</c:v>
                </c:pt>
                <c:pt idx="63">
                  <c:v>1435.3539000000001</c:v>
                </c:pt>
                <c:pt idx="64">
                  <c:v>1434.8126999999999</c:v>
                </c:pt>
                <c:pt idx="65">
                  <c:v>1434.3453999999999</c:v>
                </c:pt>
                <c:pt idx="66">
                  <c:v>1433.9487999999999</c:v>
                </c:pt>
                <c:pt idx="67">
                  <c:v>1433.6206999999999</c:v>
                </c:pt>
                <c:pt idx="68">
                  <c:v>1433.3271999999999</c:v>
                </c:pt>
                <c:pt idx="69">
                  <c:v>1433.0993000000001</c:v>
                </c:pt>
                <c:pt idx="70">
                  <c:v>1432.8739</c:v>
                </c:pt>
                <c:pt idx="71">
                  <c:v>1432.7125000000001</c:v>
                </c:pt>
                <c:pt idx="72">
                  <c:v>1432.5524</c:v>
                </c:pt>
                <c:pt idx="73">
                  <c:v>1432.4256</c:v>
                </c:pt>
                <c:pt idx="74">
                  <c:v>1432.3294000000001</c:v>
                </c:pt>
                <c:pt idx="75">
                  <c:v>1432.2336</c:v>
                </c:pt>
                <c:pt idx="76">
                  <c:v>1432.1383000000001</c:v>
                </c:pt>
                <c:pt idx="77">
                  <c:v>1432.0754999999999</c:v>
                </c:pt>
                <c:pt idx="78">
                  <c:v>1432.0128999999999</c:v>
                </c:pt>
                <c:pt idx="79">
                  <c:v>1431.9504999999999</c:v>
                </c:pt>
                <c:pt idx="80">
                  <c:v>1431.9179999999999</c:v>
                </c:pt>
                <c:pt idx="81">
                  <c:v>1431.8856000000001</c:v>
                </c:pt>
                <c:pt idx="82">
                  <c:v>1431.8533</c:v>
                </c:pt>
                <c:pt idx="83">
                  <c:v>1431.8209999999999</c:v>
                </c:pt>
                <c:pt idx="84">
                  <c:v>1431.7887000000001</c:v>
                </c:pt>
                <c:pt idx="85">
                  <c:v>1431.7874999999999</c:v>
                </c:pt>
                <c:pt idx="86">
                  <c:v>1431.7863</c:v>
                </c:pt>
                <c:pt idx="87">
                  <c:v>1431.7851000000001</c:v>
                </c:pt>
                <c:pt idx="88">
                  <c:v>1431.7838999999999</c:v>
                </c:pt>
                <c:pt idx="89">
                  <c:v>1431.7827</c:v>
                </c:pt>
                <c:pt idx="90">
                  <c:v>1431.7815000000001</c:v>
                </c:pt>
                <c:pt idx="91">
                  <c:v>1431.7802999999999</c:v>
                </c:pt>
                <c:pt idx="92">
                  <c:v>1431.7791</c:v>
                </c:pt>
                <c:pt idx="93">
                  <c:v>1431.7779</c:v>
                </c:pt>
                <c:pt idx="94">
                  <c:v>1431.7766999999999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C4-43F9-9873-811B8E73B128}"/>
            </c:ext>
          </c:extLst>
        </c:ser>
        <c:ser>
          <c:idx val="0"/>
          <c:order val="1"/>
          <c:tx>
            <c:strRef>
              <c:f>'IndepMalha 200s'!$K$542:$M$542</c:f>
              <c:strCache>
                <c:ptCount val="1"/>
                <c:pt idx="0">
                  <c:v>TDMA with ADI 121x121 - 200s</c:v>
                </c:pt>
              </c:strCache>
            </c:strRef>
          </c:tx>
          <c:xVal>
            <c:numRef>
              <c:f>'IndepMalha 200s'!$J$551:$J$645</c:f>
              <c:numCache>
                <c:formatCode>0.00</c:formatCode>
                <c:ptCount val="95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200s'!$M$551:$M$645</c:f>
              <c:numCache>
                <c:formatCode>0.00</c:formatCode>
                <c:ptCount val="95"/>
                <c:pt idx="0">
                  <c:v>300</c:v>
                </c:pt>
                <c:pt idx="1">
                  <c:v>348.98169999999999</c:v>
                </c:pt>
                <c:pt idx="2">
                  <c:v>412.0693</c:v>
                </c:pt>
                <c:pt idx="3">
                  <c:v>473.07130000000001</c:v>
                </c:pt>
                <c:pt idx="4">
                  <c:v>529.26800000000003</c:v>
                </c:pt>
                <c:pt idx="5">
                  <c:v>581.18409999999994</c:v>
                </c:pt>
                <c:pt idx="6">
                  <c:v>615.75139999999999</c:v>
                </c:pt>
                <c:pt idx="7">
                  <c:v>674.3202</c:v>
                </c:pt>
                <c:pt idx="8">
                  <c:v>735.68089999999995</c:v>
                </c:pt>
                <c:pt idx="9">
                  <c:v>793.91750000000002</c:v>
                </c:pt>
                <c:pt idx="10">
                  <c:v>846.12609999999995</c:v>
                </c:pt>
                <c:pt idx="11">
                  <c:v>891.67750000000001</c:v>
                </c:pt>
                <c:pt idx="12">
                  <c:v>931.28639999999996</c:v>
                </c:pt>
                <c:pt idx="13">
                  <c:v>966.22590000000002</c:v>
                </c:pt>
                <c:pt idx="14">
                  <c:v>998.11500000000001</c:v>
                </c:pt>
                <c:pt idx="15">
                  <c:v>1030.2148999999999</c:v>
                </c:pt>
                <c:pt idx="16">
                  <c:v>1051.7387000000001</c:v>
                </c:pt>
                <c:pt idx="17">
                  <c:v>1095.2233000000001</c:v>
                </c:pt>
                <c:pt idx="18">
                  <c:v>1144.7378000000001</c:v>
                </c:pt>
                <c:pt idx="19">
                  <c:v>1194.4465</c:v>
                </c:pt>
                <c:pt idx="20">
                  <c:v>1239.2646</c:v>
                </c:pt>
                <c:pt idx="21">
                  <c:v>1278.7286999999999</c:v>
                </c:pt>
                <c:pt idx="22">
                  <c:v>1313.1703</c:v>
                </c:pt>
                <c:pt idx="23">
                  <c:v>1343.011</c:v>
                </c:pt>
                <c:pt idx="24">
                  <c:v>1368.6756</c:v>
                </c:pt>
                <c:pt idx="25">
                  <c:v>1390.6534999999999</c:v>
                </c:pt>
                <c:pt idx="26">
                  <c:v>1402.6113</c:v>
                </c:pt>
                <c:pt idx="27">
                  <c:v>1419.5953999999999</c:v>
                </c:pt>
                <c:pt idx="28">
                  <c:v>1434.0227</c:v>
                </c:pt>
                <c:pt idx="29">
                  <c:v>1446.2170000000001</c:v>
                </c:pt>
                <c:pt idx="30">
                  <c:v>1456.5148999999999</c:v>
                </c:pt>
                <c:pt idx="31">
                  <c:v>1465.1901</c:v>
                </c:pt>
                <c:pt idx="32">
                  <c:v>1472.4969000000001</c:v>
                </c:pt>
                <c:pt idx="33">
                  <c:v>1478.6367</c:v>
                </c:pt>
                <c:pt idx="34">
                  <c:v>1483.8069</c:v>
                </c:pt>
                <c:pt idx="35">
                  <c:v>1488.1626000000001</c:v>
                </c:pt>
                <c:pt idx="36">
                  <c:v>1491.8191999999999</c:v>
                </c:pt>
                <c:pt idx="37">
                  <c:v>1494.8996999999999</c:v>
                </c:pt>
                <c:pt idx="38">
                  <c:v>1497.4830999999999</c:v>
                </c:pt>
                <c:pt idx="39">
                  <c:v>1499.6615999999999</c:v>
                </c:pt>
                <c:pt idx="40">
                  <c:v>1501.4853000000001</c:v>
                </c:pt>
                <c:pt idx="41">
                  <c:v>1503.0220999999999</c:v>
                </c:pt>
                <c:pt idx="42">
                  <c:v>1504.318</c:v>
                </c:pt>
                <c:pt idx="43">
                  <c:v>1505.4088999999999</c:v>
                </c:pt>
                <c:pt idx="44">
                  <c:v>1505.5228999999999</c:v>
                </c:pt>
                <c:pt idx="45">
                  <c:v>1499.8642</c:v>
                </c:pt>
                <c:pt idx="46">
                  <c:v>1490.7025000000001</c:v>
                </c:pt>
                <c:pt idx="47">
                  <c:v>1481.0813000000001</c:v>
                </c:pt>
                <c:pt idx="48">
                  <c:v>1472.1655000000001</c:v>
                </c:pt>
                <c:pt idx="49">
                  <c:v>1464.2484999999999</c:v>
                </c:pt>
                <c:pt idx="50">
                  <c:v>1457.3427999999999</c:v>
                </c:pt>
                <c:pt idx="51">
                  <c:v>1451.3705</c:v>
                </c:pt>
                <c:pt idx="52">
                  <c:v>1446.2306000000001</c:v>
                </c:pt>
                <c:pt idx="53">
                  <c:v>1441.8215</c:v>
                </c:pt>
                <c:pt idx="54">
                  <c:v>1438.0344</c:v>
                </c:pt>
                <c:pt idx="55">
                  <c:v>1434.7846</c:v>
                </c:pt>
                <c:pt idx="56">
                  <c:v>1432.0137999999999</c:v>
                </c:pt>
                <c:pt idx="57">
                  <c:v>1429.6413</c:v>
                </c:pt>
                <c:pt idx="58">
                  <c:v>1427.6101000000001</c:v>
                </c:pt>
                <c:pt idx="59">
                  <c:v>1425.8738000000001</c:v>
                </c:pt>
                <c:pt idx="60">
                  <c:v>1424.3896999999999</c:v>
                </c:pt>
                <c:pt idx="61">
                  <c:v>1423.1085</c:v>
                </c:pt>
                <c:pt idx="62">
                  <c:v>1422.0173</c:v>
                </c:pt>
                <c:pt idx="63">
                  <c:v>1421.0891999999999</c:v>
                </c:pt>
                <c:pt idx="64">
                  <c:v>1420.2879</c:v>
                </c:pt>
                <c:pt idx="65">
                  <c:v>1419.5966000000001</c:v>
                </c:pt>
                <c:pt idx="66">
                  <c:v>1419.0165</c:v>
                </c:pt>
                <c:pt idx="67">
                  <c:v>1418.5183999999999</c:v>
                </c:pt>
                <c:pt idx="68">
                  <c:v>1418.0923</c:v>
                </c:pt>
                <c:pt idx="69">
                  <c:v>1417.7141999999999</c:v>
                </c:pt>
                <c:pt idx="70">
                  <c:v>1417.3937000000001</c:v>
                </c:pt>
                <c:pt idx="71">
                  <c:v>1417.1248000000001</c:v>
                </c:pt>
                <c:pt idx="72">
                  <c:v>1416.8884</c:v>
                </c:pt>
                <c:pt idx="73">
                  <c:v>1416.6797999999999</c:v>
                </c:pt>
                <c:pt idx="74">
                  <c:v>1416.5117</c:v>
                </c:pt>
                <c:pt idx="75">
                  <c:v>1416.3670999999999</c:v>
                </c:pt>
                <c:pt idx="76">
                  <c:v>1416.2427</c:v>
                </c:pt>
                <c:pt idx="77">
                  <c:v>1416.1387</c:v>
                </c:pt>
                <c:pt idx="78">
                  <c:v>1416.0382999999999</c:v>
                </c:pt>
                <c:pt idx="79">
                  <c:v>1415.9549</c:v>
                </c:pt>
                <c:pt idx="80">
                  <c:v>1415.8893</c:v>
                </c:pt>
                <c:pt idx="81">
                  <c:v>1415.8253</c:v>
                </c:pt>
                <c:pt idx="82">
                  <c:v>1415.7765999999999</c:v>
                </c:pt>
                <c:pt idx="83">
                  <c:v>1415.7288000000001</c:v>
                </c:pt>
                <c:pt idx="84">
                  <c:v>1415.6974</c:v>
                </c:pt>
                <c:pt idx="85">
                  <c:v>1415.6663000000001</c:v>
                </c:pt>
                <c:pt idx="86">
                  <c:v>1415.6356000000001</c:v>
                </c:pt>
                <c:pt idx="87">
                  <c:v>1415.6052999999999</c:v>
                </c:pt>
                <c:pt idx="88">
                  <c:v>1415.5891999999999</c:v>
                </c:pt>
                <c:pt idx="89">
                  <c:v>1415.5733</c:v>
                </c:pt>
                <c:pt idx="90">
                  <c:v>1415.5573999999999</c:v>
                </c:pt>
                <c:pt idx="91">
                  <c:v>1415.5417</c:v>
                </c:pt>
                <c:pt idx="92">
                  <c:v>1415.5260000000001</c:v>
                </c:pt>
                <c:pt idx="93">
                  <c:v>1415.5105000000001</c:v>
                </c:pt>
                <c:pt idx="94">
                  <c:v>1415.5099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C4-43F9-9873-811B8E73B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19392"/>
        <c:axId val="139833344"/>
      </c:scatterChart>
      <c:valAx>
        <c:axId val="1242193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600"/>
                </a:pPr>
                <a:r>
                  <a:rPr lang="pt-BR" sz="1600"/>
                  <a:t>Tempo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600" b="0"/>
            </a:pPr>
            <a:endParaRPr lang="pt-BR"/>
          </a:p>
        </c:txPr>
        <c:crossAx val="139833344"/>
        <c:crosses val="autoZero"/>
        <c:crossBetween val="midCat"/>
      </c:valAx>
      <c:valAx>
        <c:axId val="1398333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pt-BR" sz="1800"/>
                  <a:t>Temperatura</a:t>
                </a:r>
                <a:r>
                  <a:rPr lang="pt-BR" sz="1800" baseline="0"/>
                  <a:t> (K)</a:t>
                </a:r>
                <a:endParaRPr lang="pt-BR" sz="1800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600"/>
            </a:pPr>
            <a:endParaRPr lang="pt-BR"/>
          </a:p>
        </c:txPr>
        <c:crossAx val="124219392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845440350930896"/>
          <c:y val="0.74552330433827363"/>
          <c:w val="0.27268876660817404"/>
          <c:h val="9.7485226720110812E-2"/>
        </c:manualLayout>
      </c:layout>
      <c:overlay val="1"/>
      <c:spPr>
        <a:solidFill>
          <a:schemeClr val="bg1"/>
        </a:solidFill>
        <a:ln>
          <a:solidFill>
            <a:sysClr val="windowText" lastClr="000000"/>
          </a:solidFill>
        </a:ln>
      </c:spPr>
      <c:txPr>
        <a:bodyPr/>
        <a:lstStyle/>
        <a:p>
          <a:pPr>
            <a:defRPr sz="1400"/>
          </a:pPr>
          <a:endParaRPr lang="pt-BR"/>
        </a:p>
      </c:txPr>
    </c:legend>
    <c:plotVisOnly val="1"/>
    <c:dispBlanksAs val="gap"/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Ponto 7 - X=0,25 m / Y = 0,05m</a:t>
            </a:r>
          </a:p>
        </c:rich>
      </c:tx>
      <c:layout>
        <c:manualLayout>
          <c:xMode val="edge"/>
          <c:yMode val="edge"/>
          <c:x val="0.34306072191922388"/>
          <c:y val="1.2760416317792643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'IndepMalha 200s'!$C$648:$E$648</c:f>
              <c:strCache>
                <c:ptCount val="1"/>
                <c:pt idx="0">
                  <c:v>TDMA with ADI 241x241 - 200s</c:v>
                </c:pt>
              </c:strCache>
            </c:strRef>
          </c:tx>
          <c:marker>
            <c:symbol val="circle"/>
            <c:size val="9"/>
            <c:spPr>
              <a:solidFill>
                <a:schemeClr val="bg1"/>
              </a:solidFill>
              <a:ln w="22225"/>
            </c:spPr>
          </c:marker>
          <c:xVal>
            <c:numRef>
              <c:f>'IndepMalha 200s'!$B$657:$B$751</c:f>
              <c:numCache>
                <c:formatCode>0.00</c:formatCode>
                <c:ptCount val="95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200s'!$E$657:$E$751</c:f>
              <c:numCache>
                <c:formatCode>0.00</c:formatCode>
                <c:ptCount val="95"/>
                <c:pt idx="0">
                  <c:v>300</c:v>
                </c:pt>
                <c:pt idx="1">
                  <c:v>350.35469999999998</c:v>
                </c:pt>
                <c:pt idx="2">
                  <c:v>409.40309999999999</c:v>
                </c:pt>
                <c:pt idx="3">
                  <c:v>466.7731</c:v>
                </c:pt>
                <c:pt idx="4">
                  <c:v>520.45950000000005</c:v>
                </c:pt>
                <c:pt idx="5">
                  <c:v>570.76900000000001</c:v>
                </c:pt>
                <c:pt idx="6">
                  <c:v>604.54570000000001</c:v>
                </c:pt>
                <c:pt idx="7">
                  <c:v>672.36789999999996</c:v>
                </c:pt>
                <c:pt idx="8">
                  <c:v>739.66560000000004</c:v>
                </c:pt>
                <c:pt idx="9">
                  <c:v>801.19960000000003</c:v>
                </c:pt>
                <c:pt idx="10">
                  <c:v>855.22760000000005</c:v>
                </c:pt>
                <c:pt idx="11">
                  <c:v>901.70669999999996</c:v>
                </c:pt>
                <c:pt idx="12">
                  <c:v>941.76310000000001</c:v>
                </c:pt>
                <c:pt idx="13">
                  <c:v>977.10050000000001</c:v>
                </c:pt>
                <c:pt idx="14">
                  <c:v>1009.443</c:v>
                </c:pt>
                <c:pt idx="15">
                  <c:v>1041.1904999999999</c:v>
                </c:pt>
                <c:pt idx="16">
                  <c:v>1060.8921</c:v>
                </c:pt>
                <c:pt idx="17">
                  <c:v>1105.742</c:v>
                </c:pt>
                <c:pt idx="18">
                  <c:v>1153.9934000000001</c:v>
                </c:pt>
                <c:pt idx="19">
                  <c:v>1200.4365</c:v>
                </c:pt>
                <c:pt idx="20">
                  <c:v>1242.3298</c:v>
                </c:pt>
                <c:pt idx="21">
                  <c:v>1279.0987</c:v>
                </c:pt>
                <c:pt idx="22">
                  <c:v>1311.1206999999999</c:v>
                </c:pt>
                <c:pt idx="23">
                  <c:v>1338.8710000000001</c:v>
                </c:pt>
                <c:pt idx="24">
                  <c:v>1362.8227999999999</c:v>
                </c:pt>
                <c:pt idx="25">
                  <c:v>1383.373</c:v>
                </c:pt>
                <c:pt idx="26">
                  <c:v>1394.5952</c:v>
                </c:pt>
                <c:pt idx="27">
                  <c:v>1409.5648000000001</c:v>
                </c:pt>
                <c:pt idx="28">
                  <c:v>1422.3708999999999</c:v>
                </c:pt>
                <c:pt idx="29">
                  <c:v>1433.4286</c:v>
                </c:pt>
                <c:pt idx="30">
                  <c:v>1442.9375</c:v>
                </c:pt>
                <c:pt idx="31">
                  <c:v>1451.0958000000001</c:v>
                </c:pt>
                <c:pt idx="32">
                  <c:v>1458.0432000000001</c:v>
                </c:pt>
                <c:pt idx="33">
                  <c:v>1463.9387999999999</c:v>
                </c:pt>
                <c:pt idx="34">
                  <c:v>1468.9257</c:v>
                </c:pt>
                <c:pt idx="35">
                  <c:v>1473.1554000000001</c:v>
                </c:pt>
                <c:pt idx="36">
                  <c:v>1476.7301</c:v>
                </c:pt>
                <c:pt idx="37">
                  <c:v>1479.7391</c:v>
                </c:pt>
                <c:pt idx="38">
                  <c:v>1482.2804000000001</c:v>
                </c:pt>
                <c:pt idx="39">
                  <c:v>1484.4368999999999</c:v>
                </c:pt>
                <c:pt idx="40">
                  <c:v>1486.2563</c:v>
                </c:pt>
                <c:pt idx="41">
                  <c:v>1487.7746999999999</c:v>
                </c:pt>
                <c:pt idx="42">
                  <c:v>1489.0749000000001</c:v>
                </c:pt>
                <c:pt idx="43">
                  <c:v>1490.1525999999999</c:v>
                </c:pt>
                <c:pt idx="44">
                  <c:v>1490.2663</c:v>
                </c:pt>
                <c:pt idx="45">
                  <c:v>1483.0700999999999</c:v>
                </c:pt>
                <c:pt idx="46">
                  <c:v>1475.0498</c:v>
                </c:pt>
                <c:pt idx="47">
                  <c:v>1467.9894999999999</c:v>
                </c:pt>
                <c:pt idx="48">
                  <c:v>1461.8708999999999</c:v>
                </c:pt>
                <c:pt idx="49">
                  <c:v>1456.5927999999999</c:v>
                </c:pt>
                <c:pt idx="50">
                  <c:v>1452.0234</c:v>
                </c:pt>
                <c:pt idx="51">
                  <c:v>1448.1029000000001</c:v>
                </c:pt>
                <c:pt idx="52">
                  <c:v>1444.7203</c:v>
                </c:pt>
                <c:pt idx="53">
                  <c:v>1441.8297</c:v>
                </c:pt>
                <c:pt idx="54">
                  <c:v>1439.3588</c:v>
                </c:pt>
                <c:pt idx="55">
                  <c:v>1437.2411</c:v>
                </c:pt>
                <c:pt idx="56">
                  <c:v>1435.4467</c:v>
                </c:pt>
                <c:pt idx="57">
                  <c:v>1433.8924</c:v>
                </c:pt>
                <c:pt idx="58">
                  <c:v>1432.5861</c:v>
                </c:pt>
                <c:pt idx="59">
                  <c:v>1431.4531999999999</c:v>
                </c:pt>
                <c:pt idx="60">
                  <c:v>1430.5092</c:v>
                </c:pt>
                <c:pt idx="61">
                  <c:v>1429.6855</c:v>
                </c:pt>
                <c:pt idx="62">
                  <c:v>1429.0029</c:v>
                </c:pt>
                <c:pt idx="63">
                  <c:v>1428.3974000000001</c:v>
                </c:pt>
                <c:pt idx="64">
                  <c:v>1427.8943999999999</c:v>
                </c:pt>
                <c:pt idx="65">
                  <c:v>1427.4599000000001</c:v>
                </c:pt>
                <c:pt idx="66">
                  <c:v>1427.0913</c:v>
                </c:pt>
                <c:pt idx="67">
                  <c:v>1426.7863</c:v>
                </c:pt>
                <c:pt idx="68">
                  <c:v>1426.5135</c:v>
                </c:pt>
                <c:pt idx="69">
                  <c:v>1426.3016</c:v>
                </c:pt>
                <c:pt idx="70">
                  <c:v>1426.0921000000001</c:v>
                </c:pt>
                <c:pt idx="71">
                  <c:v>1425.9421</c:v>
                </c:pt>
                <c:pt idx="72">
                  <c:v>1425.7933</c:v>
                </c:pt>
                <c:pt idx="73">
                  <c:v>1425.6755000000001</c:v>
                </c:pt>
                <c:pt idx="74">
                  <c:v>1425.586</c:v>
                </c:pt>
                <c:pt idx="75">
                  <c:v>1425.4970000000001</c:v>
                </c:pt>
                <c:pt idx="76">
                  <c:v>1425.4084</c:v>
                </c:pt>
                <c:pt idx="77">
                  <c:v>1425.3501000000001</c:v>
                </c:pt>
                <c:pt idx="78">
                  <c:v>1425.2918999999999</c:v>
                </c:pt>
                <c:pt idx="79">
                  <c:v>1425.2339999999999</c:v>
                </c:pt>
                <c:pt idx="80">
                  <c:v>1425.2038</c:v>
                </c:pt>
                <c:pt idx="81">
                  <c:v>1425.1737000000001</c:v>
                </c:pt>
                <c:pt idx="82">
                  <c:v>1425.1436000000001</c:v>
                </c:pt>
                <c:pt idx="83">
                  <c:v>1425.1135999999999</c:v>
                </c:pt>
                <c:pt idx="84">
                  <c:v>1425.0835999999999</c:v>
                </c:pt>
                <c:pt idx="85">
                  <c:v>1425.0825</c:v>
                </c:pt>
                <c:pt idx="86">
                  <c:v>1425.0814</c:v>
                </c:pt>
                <c:pt idx="87">
                  <c:v>1425.0803000000001</c:v>
                </c:pt>
                <c:pt idx="88">
                  <c:v>1425.0791999999999</c:v>
                </c:pt>
                <c:pt idx="89">
                  <c:v>1425.078</c:v>
                </c:pt>
                <c:pt idx="90">
                  <c:v>1425.0769</c:v>
                </c:pt>
                <c:pt idx="91">
                  <c:v>1425.0758000000001</c:v>
                </c:pt>
                <c:pt idx="92">
                  <c:v>1425.0746999999999</c:v>
                </c:pt>
                <c:pt idx="93">
                  <c:v>1425.0735999999999</c:v>
                </c:pt>
                <c:pt idx="94">
                  <c:v>1425.0725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51-4BDF-9A03-613C1642E832}"/>
            </c:ext>
          </c:extLst>
        </c:ser>
        <c:ser>
          <c:idx val="0"/>
          <c:order val="1"/>
          <c:tx>
            <c:strRef>
              <c:f>'IndepMalha 200s'!$K$648:$M$648</c:f>
              <c:strCache>
                <c:ptCount val="1"/>
                <c:pt idx="0">
                  <c:v>TDMA with ADI 121x121 - 200s</c:v>
                </c:pt>
              </c:strCache>
            </c:strRef>
          </c:tx>
          <c:xVal>
            <c:numRef>
              <c:f>'IndepMalha 200s'!$J$657:$J$751</c:f>
              <c:numCache>
                <c:formatCode>0.00</c:formatCode>
                <c:ptCount val="95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200s'!$M$657:$M$751</c:f>
              <c:numCache>
                <c:formatCode>0.00</c:formatCode>
                <c:ptCount val="95"/>
                <c:pt idx="0">
                  <c:v>300</c:v>
                </c:pt>
                <c:pt idx="1">
                  <c:v>353.59570000000002</c:v>
                </c:pt>
                <c:pt idx="2">
                  <c:v>415.32220000000001</c:v>
                </c:pt>
                <c:pt idx="3">
                  <c:v>474.77260000000001</c:v>
                </c:pt>
                <c:pt idx="4">
                  <c:v>530.25710000000004</c:v>
                </c:pt>
                <c:pt idx="5">
                  <c:v>582.29229999999995</c:v>
                </c:pt>
                <c:pt idx="6">
                  <c:v>617.22659999999996</c:v>
                </c:pt>
                <c:pt idx="7">
                  <c:v>686.44640000000004</c:v>
                </c:pt>
                <c:pt idx="8">
                  <c:v>754.68129999999996</c:v>
                </c:pt>
                <c:pt idx="9">
                  <c:v>816.41690000000006</c:v>
                </c:pt>
                <c:pt idx="10">
                  <c:v>870.01220000000001</c:v>
                </c:pt>
                <c:pt idx="11">
                  <c:v>915.69399999999996</c:v>
                </c:pt>
                <c:pt idx="12">
                  <c:v>955.07399999999996</c:v>
                </c:pt>
                <c:pt idx="13">
                  <c:v>990.05319999999995</c:v>
                </c:pt>
                <c:pt idx="14">
                  <c:v>1022.7928000000001</c:v>
                </c:pt>
                <c:pt idx="15">
                  <c:v>1056.6615999999999</c:v>
                </c:pt>
                <c:pt idx="16">
                  <c:v>1077.7384999999999</c:v>
                </c:pt>
                <c:pt idx="17">
                  <c:v>1125.2156</c:v>
                </c:pt>
                <c:pt idx="18">
                  <c:v>1175.2262000000001</c:v>
                </c:pt>
                <c:pt idx="19">
                  <c:v>1222.0639000000001</c:v>
                </c:pt>
                <c:pt idx="20">
                  <c:v>1263.4614999999999</c:v>
                </c:pt>
                <c:pt idx="21">
                  <c:v>1299.6695999999999</c:v>
                </c:pt>
                <c:pt idx="22">
                  <c:v>1331.1269</c:v>
                </c:pt>
                <c:pt idx="23">
                  <c:v>1358.3142</c:v>
                </c:pt>
                <c:pt idx="24">
                  <c:v>1381.6676</c:v>
                </c:pt>
                <c:pt idx="25">
                  <c:v>1401.6561999999999</c:v>
                </c:pt>
                <c:pt idx="26">
                  <c:v>1412.5306</c:v>
                </c:pt>
                <c:pt idx="27">
                  <c:v>1426.9104</c:v>
                </c:pt>
                <c:pt idx="28">
                  <c:v>1439.1918000000001</c:v>
                </c:pt>
                <c:pt idx="29">
                  <c:v>1449.7905000000001</c:v>
                </c:pt>
                <c:pt idx="30">
                  <c:v>1458.8986</c:v>
                </c:pt>
                <c:pt idx="31">
                  <c:v>1466.6658</c:v>
                </c:pt>
                <c:pt idx="32">
                  <c:v>1473.2608</c:v>
                </c:pt>
                <c:pt idx="33">
                  <c:v>1478.8317999999999</c:v>
                </c:pt>
                <c:pt idx="34">
                  <c:v>1483.5395000000001</c:v>
                </c:pt>
                <c:pt idx="35">
                  <c:v>1487.5142000000001</c:v>
                </c:pt>
                <c:pt idx="36">
                  <c:v>1490.8554999999999</c:v>
                </c:pt>
                <c:pt idx="37">
                  <c:v>1493.6736000000001</c:v>
                </c:pt>
                <c:pt idx="38">
                  <c:v>1496.0382999999999</c:v>
                </c:pt>
                <c:pt idx="39">
                  <c:v>1498.0327</c:v>
                </c:pt>
                <c:pt idx="40">
                  <c:v>1499.7028</c:v>
                </c:pt>
                <c:pt idx="41">
                  <c:v>1501.1106</c:v>
                </c:pt>
                <c:pt idx="42">
                  <c:v>1502.2974999999999</c:v>
                </c:pt>
                <c:pt idx="43">
                  <c:v>1503.2972</c:v>
                </c:pt>
                <c:pt idx="44">
                  <c:v>1503.4013</c:v>
                </c:pt>
                <c:pt idx="45">
                  <c:v>1492.5803000000001</c:v>
                </c:pt>
                <c:pt idx="46">
                  <c:v>1481.3233</c:v>
                </c:pt>
                <c:pt idx="47">
                  <c:v>1471.4115999999999</c:v>
                </c:pt>
                <c:pt idx="48">
                  <c:v>1462.8125</c:v>
                </c:pt>
                <c:pt idx="49">
                  <c:v>1455.3543</c:v>
                </c:pt>
                <c:pt idx="50">
                  <c:v>1448.9021</c:v>
                </c:pt>
                <c:pt idx="51">
                  <c:v>1443.3379</c:v>
                </c:pt>
                <c:pt idx="52">
                  <c:v>1438.5540000000001</c:v>
                </c:pt>
                <c:pt idx="53">
                  <c:v>1434.4519</c:v>
                </c:pt>
                <c:pt idx="54">
                  <c:v>1430.9289000000001</c:v>
                </c:pt>
                <c:pt idx="55">
                  <c:v>1427.9061999999999</c:v>
                </c:pt>
                <c:pt idx="56">
                  <c:v>1425.3290999999999</c:v>
                </c:pt>
                <c:pt idx="57">
                  <c:v>1423.1225999999999</c:v>
                </c:pt>
                <c:pt idx="58">
                  <c:v>1421.2338</c:v>
                </c:pt>
                <c:pt idx="59">
                  <c:v>1419.6192000000001</c:v>
                </c:pt>
                <c:pt idx="60">
                  <c:v>1418.2393999999999</c:v>
                </c:pt>
                <c:pt idx="61">
                  <c:v>1417.0483999999999</c:v>
                </c:pt>
                <c:pt idx="62">
                  <c:v>1416.0340000000001</c:v>
                </c:pt>
                <c:pt idx="63">
                  <c:v>1415.1713999999999</c:v>
                </c:pt>
                <c:pt idx="64">
                  <c:v>1414.4268999999999</c:v>
                </c:pt>
                <c:pt idx="65">
                  <c:v>1413.7846999999999</c:v>
                </c:pt>
                <c:pt idx="66">
                  <c:v>1413.2455</c:v>
                </c:pt>
                <c:pt idx="67">
                  <c:v>1412.7826</c:v>
                </c:pt>
                <c:pt idx="68">
                  <c:v>1412.3867</c:v>
                </c:pt>
                <c:pt idx="69">
                  <c:v>1412.0355999999999</c:v>
                </c:pt>
                <c:pt idx="70">
                  <c:v>1411.7382</c:v>
                </c:pt>
                <c:pt idx="71">
                  <c:v>1411.4887000000001</c:v>
                </c:pt>
                <c:pt idx="72">
                  <c:v>1411.2691</c:v>
                </c:pt>
                <c:pt idx="73">
                  <c:v>1411.0755999999999</c:v>
                </c:pt>
                <c:pt idx="74">
                  <c:v>1410.9196999999999</c:v>
                </c:pt>
                <c:pt idx="75">
                  <c:v>1410.7854</c:v>
                </c:pt>
                <c:pt idx="76">
                  <c:v>1410.6702</c:v>
                </c:pt>
                <c:pt idx="77">
                  <c:v>1410.5735</c:v>
                </c:pt>
                <c:pt idx="78">
                  <c:v>1410.4802999999999</c:v>
                </c:pt>
                <c:pt idx="79">
                  <c:v>1410.4031</c:v>
                </c:pt>
                <c:pt idx="80">
                  <c:v>1410.3422</c:v>
                </c:pt>
                <c:pt idx="81">
                  <c:v>1410.2828</c:v>
                </c:pt>
                <c:pt idx="82">
                  <c:v>1410.2379000000001</c:v>
                </c:pt>
                <c:pt idx="83">
                  <c:v>1410.1938</c:v>
                </c:pt>
                <c:pt idx="84">
                  <c:v>1410.1646000000001</c:v>
                </c:pt>
                <c:pt idx="85">
                  <c:v>1410.1357</c:v>
                </c:pt>
                <c:pt idx="86">
                  <c:v>1410.1071999999999</c:v>
                </c:pt>
                <c:pt idx="87">
                  <c:v>1410.0790999999999</c:v>
                </c:pt>
                <c:pt idx="88">
                  <c:v>1410.0645</c:v>
                </c:pt>
                <c:pt idx="89">
                  <c:v>1410.05</c:v>
                </c:pt>
                <c:pt idx="90">
                  <c:v>1410.0355999999999</c:v>
                </c:pt>
                <c:pt idx="91">
                  <c:v>1410.0213000000001</c:v>
                </c:pt>
                <c:pt idx="92">
                  <c:v>1410.0071</c:v>
                </c:pt>
                <c:pt idx="93">
                  <c:v>1409.9929</c:v>
                </c:pt>
                <c:pt idx="94">
                  <c:v>1409.9924000000001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51-4BDF-9A03-613C1642E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715456"/>
        <c:axId val="153749760"/>
      </c:scatterChart>
      <c:valAx>
        <c:axId val="1537154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600"/>
                </a:pPr>
                <a:r>
                  <a:rPr lang="pt-BR" sz="1600"/>
                  <a:t>Tempo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600" b="0"/>
            </a:pPr>
            <a:endParaRPr lang="pt-BR"/>
          </a:p>
        </c:txPr>
        <c:crossAx val="153749760"/>
        <c:crosses val="autoZero"/>
        <c:crossBetween val="midCat"/>
      </c:valAx>
      <c:valAx>
        <c:axId val="1537497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pt-BR" sz="1800"/>
                  <a:t>Temperatura</a:t>
                </a:r>
                <a:r>
                  <a:rPr lang="pt-BR" sz="1800" baseline="0"/>
                  <a:t> (K)</a:t>
                </a:r>
                <a:endParaRPr lang="pt-BR" sz="1800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600"/>
            </a:pPr>
            <a:endParaRPr lang="pt-BR"/>
          </a:p>
        </c:txPr>
        <c:crossAx val="15371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845440350930918"/>
          <c:y val="0.74552330433827363"/>
          <c:w val="0.27268876660817404"/>
          <c:h val="9.7485226720110812E-2"/>
        </c:manualLayout>
      </c:layout>
      <c:overlay val="1"/>
      <c:spPr>
        <a:solidFill>
          <a:schemeClr val="bg1"/>
        </a:solidFill>
        <a:ln>
          <a:solidFill>
            <a:sysClr val="windowText" lastClr="000000"/>
          </a:solidFill>
        </a:ln>
      </c:spPr>
      <c:txPr>
        <a:bodyPr/>
        <a:lstStyle/>
        <a:p>
          <a:pPr>
            <a:defRPr sz="1400"/>
          </a:pPr>
          <a:endParaRPr lang="pt-BR"/>
        </a:p>
      </c:txPr>
    </c:legend>
    <c:plotVisOnly val="1"/>
    <c:dispBlanksAs val="gap"/>
    <c:showDLblsOverMax val="0"/>
  </c:char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Ponto 8 - X=0,50m / Y = 0,05m</a:t>
            </a:r>
          </a:p>
        </c:rich>
      </c:tx>
      <c:layout>
        <c:manualLayout>
          <c:xMode val="edge"/>
          <c:yMode val="edge"/>
          <c:x val="0.34306072191922393"/>
          <c:y val="1.2760416317792643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'IndepMalha 200s'!$C$754:$E$754</c:f>
              <c:strCache>
                <c:ptCount val="1"/>
                <c:pt idx="0">
                  <c:v>TDMA with ADI 241x241 - 200s</c:v>
                </c:pt>
              </c:strCache>
            </c:strRef>
          </c:tx>
          <c:marker>
            <c:symbol val="circle"/>
            <c:size val="9"/>
            <c:spPr>
              <a:solidFill>
                <a:schemeClr val="bg1"/>
              </a:solidFill>
              <a:ln w="22225"/>
            </c:spPr>
          </c:marker>
          <c:xVal>
            <c:numRef>
              <c:f>'IndepMalha 200s'!$B$763:$B$857</c:f>
              <c:numCache>
                <c:formatCode>0.00</c:formatCode>
                <c:ptCount val="95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200s'!$E$763:$E$857</c:f>
              <c:numCache>
                <c:formatCode>0.00</c:formatCode>
                <c:ptCount val="95"/>
                <c:pt idx="0">
                  <c:v>300</c:v>
                </c:pt>
                <c:pt idx="1">
                  <c:v>349.45830000000001</c:v>
                </c:pt>
                <c:pt idx="2">
                  <c:v>406.45150000000001</c:v>
                </c:pt>
                <c:pt idx="3">
                  <c:v>461.30630000000002</c:v>
                </c:pt>
                <c:pt idx="4">
                  <c:v>512.34879999999998</c:v>
                </c:pt>
                <c:pt idx="5">
                  <c:v>559.92359999999996</c:v>
                </c:pt>
                <c:pt idx="6">
                  <c:v>591.80539999999996</c:v>
                </c:pt>
                <c:pt idx="7">
                  <c:v>657.28570000000002</c:v>
                </c:pt>
                <c:pt idx="8">
                  <c:v>722.75</c:v>
                </c:pt>
                <c:pt idx="9">
                  <c:v>783.33040000000005</c:v>
                </c:pt>
                <c:pt idx="10">
                  <c:v>837.31830000000002</c:v>
                </c:pt>
                <c:pt idx="11">
                  <c:v>884.35419999999999</c:v>
                </c:pt>
                <c:pt idx="12">
                  <c:v>925.00199999999995</c:v>
                </c:pt>
                <c:pt idx="13">
                  <c:v>960.60649999999998</c:v>
                </c:pt>
                <c:pt idx="14">
                  <c:v>992.56200000000001</c:v>
                </c:pt>
                <c:pt idx="15">
                  <c:v>1022.3299</c:v>
                </c:pt>
                <c:pt idx="16">
                  <c:v>1040.144</c:v>
                </c:pt>
                <c:pt idx="17">
                  <c:v>1080.6750999999999</c:v>
                </c:pt>
                <c:pt idx="18">
                  <c:v>1125.1956</c:v>
                </c:pt>
                <c:pt idx="19">
                  <c:v>1169.6579999999999</c:v>
                </c:pt>
                <c:pt idx="20">
                  <c:v>1211.6436000000001</c:v>
                </c:pt>
                <c:pt idx="21">
                  <c:v>1249.4056</c:v>
                </c:pt>
                <c:pt idx="22">
                  <c:v>1282.8085000000001</c:v>
                </c:pt>
                <c:pt idx="23">
                  <c:v>1312.1957</c:v>
                </c:pt>
                <c:pt idx="24">
                  <c:v>1337.9527</c:v>
                </c:pt>
                <c:pt idx="25">
                  <c:v>1360.3945000000001</c:v>
                </c:pt>
                <c:pt idx="26">
                  <c:v>1372.7787000000001</c:v>
                </c:pt>
                <c:pt idx="27">
                  <c:v>1389.6271999999999</c:v>
                </c:pt>
                <c:pt idx="28">
                  <c:v>1404.2463</c:v>
                </c:pt>
                <c:pt idx="29">
                  <c:v>1417.0228999999999</c:v>
                </c:pt>
                <c:pt idx="30">
                  <c:v>1428.1352999999999</c:v>
                </c:pt>
                <c:pt idx="31">
                  <c:v>1437.7695000000001</c:v>
                </c:pt>
                <c:pt idx="32">
                  <c:v>1446.0518</c:v>
                </c:pt>
                <c:pt idx="33">
                  <c:v>1453.1388999999999</c:v>
                </c:pt>
                <c:pt idx="34">
                  <c:v>1459.1768</c:v>
                </c:pt>
                <c:pt idx="35">
                  <c:v>1464.3294000000001</c:v>
                </c:pt>
                <c:pt idx="36">
                  <c:v>1468.7065</c:v>
                </c:pt>
                <c:pt idx="37">
                  <c:v>1472.4074000000001</c:v>
                </c:pt>
                <c:pt idx="38">
                  <c:v>1475.5444</c:v>
                </c:pt>
                <c:pt idx="39">
                  <c:v>1478.2144000000001</c:v>
                </c:pt>
                <c:pt idx="40">
                  <c:v>1480.4729</c:v>
                </c:pt>
                <c:pt idx="41">
                  <c:v>1482.3617999999999</c:v>
                </c:pt>
                <c:pt idx="42">
                  <c:v>1483.9820999999999</c:v>
                </c:pt>
                <c:pt idx="43">
                  <c:v>1485.3273999999999</c:v>
                </c:pt>
                <c:pt idx="44">
                  <c:v>1485.4693</c:v>
                </c:pt>
                <c:pt idx="45">
                  <c:v>1478.9266</c:v>
                </c:pt>
                <c:pt idx="46">
                  <c:v>1471.5094999999999</c:v>
                </c:pt>
                <c:pt idx="47">
                  <c:v>1465.0600999999999</c:v>
                </c:pt>
                <c:pt idx="48">
                  <c:v>1459.5581999999999</c:v>
                </c:pt>
                <c:pt idx="49">
                  <c:v>1454.8744999999999</c:v>
                </c:pt>
                <c:pt idx="50">
                  <c:v>1450.8566000000001</c:v>
                </c:pt>
                <c:pt idx="51">
                  <c:v>1447.4263000000001</c:v>
                </c:pt>
                <c:pt idx="52">
                  <c:v>1444.4711</c:v>
                </c:pt>
                <c:pt idx="53">
                  <c:v>1441.9426000000001</c:v>
                </c:pt>
                <c:pt idx="54">
                  <c:v>1439.7746</c:v>
                </c:pt>
                <c:pt idx="55">
                  <c:v>1437.9086</c:v>
                </c:pt>
                <c:pt idx="56">
                  <c:v>1436.3194000000001</c:v>
                </c:pt>
                <c:pt idx="57">
                  <c:v>1434.9356</c:v>
                </c:pt>
                <c:pt idx="58">
                  <c:v>1433.7663</c:v>
                </c:pt>
                <c:pt idx="59">
                  <c:v>1432.7469000000001</c:v>
                </c:pt>
                <c:pt idx="60">
                  <c:v>1431.8933</c:v>
                </c:pt>
                <c:pt idx="61">
                  <c:v>1431.145</c:v>
                </c:pt>
                <c:pt idx="62">
                  <c:v>1430.5225</c:v>
                </c:pt>
                <c:pt idx="63">
                  <c:v>1429.9681</c:v>
                </c:pt>
                <c:pt idx="64">
                  <c:v>1429.5060000000001</c:v>
                </c:pt>
                <c:pt idx="65">
                  <c:v>1429.1056000000001</c:v>
                </c:pt>
                <c:pt idx="66">
                  <c:v>1428.7650000000001</c:v>
                </c:pt>
                <c:pt idx="67">
                  <c:v>1428.4827</c:v>
                </c:pt>
                <c:pt idx="68">
                  <c:v>1428.2294999999999</c:v>
                </c:pt>
                <c:pt idx="69">
                  <c:v>1428.0326</c:v>
                </c:pt>
                <c:pt idx="70">
                  <c:v>1427.8376000000001</c:v>
                </c:pt>
                <c:pt idx="71">
                  <c:v>1427.6977999999999</c:v>
                </c:pt>
                <c:pt idx="72">
                  <c:v>1427.5589</c:v>
                </c:pt>
                <c:pt idx="73">
                  <c:v>1427.4489000000001</c:v>
                </c:pt>
                <c:pt idx="74">
                  <c:v>1427.3652999999999</c:v>
                </c:pt>
                <c:pt idx="75">
                  <c:v>1427.2819999999999</c:v>
                </c:pt>
                <c:pt idx="76">
                  <c:v>1427.1991</c:v>
                </c:pt>
                <c:pt idx="77">
                  <c:v>1427.1445000000001</c:v>
                </c:pt>
                <c:pt idx="78">
                  <c:v>1427.09</c:v>
                </c:pt>
                <c:pt idx="79">
                  <c:v>1427.0355999999999</c:v>
                </c:pt>
                <c:pt idx="80">
                  <c:v>1427.0073</c:v>
                </c:pt>
                <c:pt idx="81">
                  <c:v>1426.9791</c:v>
                </c:pt>
                <c:pt idx="82">
                  <c:v>1426.9509</c:v>
                </c:pt>
                <c:pt idx="83">
                  <c:v>1426.9227000000001</c:v>
                </c:pt>
                <c:pt idx="84">
                  <c:v>1426.8946000000001</c:v>
                </c:pt>
                <c:pt idx="85">
                  <c:v>1426.8934999999999</c:v>
                </c:pt>
                <c:pt idx="86">
                  <c:v>1426.8924999999999</c:v>
                </c:pt>
                <c:pt idx="87">
                  <c:v>1426.8914</c:v>
                </c:pt>
                <c:pt idx="88">
                  <c:v>1426.8904</c:v>
                </c:pt>
                <c:pt idx="89">
                  <c:v>1426.8893</c:v>
                </c:pt>
                <c:pt idx="90">
                  <c:v>1426.8883000000001</c:v>
                </c:pt>
                <c:pt idx="91">
                  <c:v>1426.8871999999999</c:v>
                </c:pt>
                <c:pt idx="92">
                  <c:v>1426.8861999999999</c:v>
                </c:pt>
                <c:pt idx="93">
                  <c:v>1426.8851</c:v>
                </c:pt>
                <c:pt idx="94">
                  <c:v>1426.8841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05-4B29-BF74-61084D3341A2}"/>
            </c:ext>
          </c:extLst>
        </c:ser>
        <c:ser>
          <c:idx val="0"/>
          <c:order val="1"/>
          <c:tx>
            <c:strRef>
              <c:f>'IndepMalha 200s'!$K$754:$M$754</c:f>
              <c:strCache>
                <c:ptCount val="1"/>
                <c:pt idx="0">
                  <c:v>TDMA with ADI 121x121 - 200s</c:v>
                </c:pt>
              </c:strCache>
            </c:strRef>
          </c:tx>
          <c:xVal>
            <c:numRef>
              <c:f>'IndepMalha 200s'!$J$763:$J$857</c:f>
              <c:numCache>
                <c:formatCode>0.00</c:formatCode>
                <c:ptCount val="95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200s'!$M$763:$M$857</c:f>
              <c:numCache>
                <c:formatCode>0.00</c:formatCode>
                <c:ptCount val="95"/>
                <c:pt idx="0">
                  <c:v>300</c:v>
                </c:pt>
                <c:pt idx="1">
                  <c:v>352.48540000000003</c:v>
                </c:pt>
                <c:pt idx="2">
                  <c:v>412.17680000000001</c:v>
                </c:pt>
                <c:pt idx="3">
                  <c:v>469.25330000000002</c:v>
                </c:pt>
                <c:pt idx="4">
                  <c:v>522.2405</c:v>
                </c:pt>
                <c:pt idx="5">
                  <c:v>571.69590000000005</c:v>
                </c:pt>
                <c:pt idx="6">
                  <c:v>604.8415</c:v>
                </c:pt>
                <c:pt idx="7">
                  <c:v>672.02909999999997</c:v>
                </c:pt>
                <c:pt idx="8">
                  <c:v>738.88499999999999</c:v>
                </c:pt>
                <c:pt idx="9">
                  <c:v>800.20770000000005</c:v>
                </c:pt>
                <c:pt idx="10">
                  <c:v>854.17269999999996</c:v>
                </c:pt>
                <c:pt idx="11">
                  <c:v>900.58630000000005</c:v>
                </c:pt>
                <c:pt idx="12">
                  <c:v>940.45939999999996</c:v>
                </c:pt>
                <c:pt idx="13">
                  <c:v>975.37459999999999</c:v>
                </c:pt>
                <c:pt idx="14">
                  <c:v>1006.9968</c:v>
                </c:pt>
                <c:pt idx="15">
                  <c:v>1037.3324</c:v>
                </c:pt>
                <c:pt idx="16">
                  <c:v>1055.8757000000001</c:v>
                </c:pt>
                <c:pt idx="17">
                  <c:v>1098.4123</c:v>
                </c:pt>
                <c:pt idx="18">
                  <c:v>1144.9110000000001</c:v>
                </c:pt>
                <c:pt idx="19">
                  <c:v>1190.7035000000001</c:v>
                </c:pt>
                <c:pt idx="20">
                  <c:v>1232.9719</c:v>
                </c:pt>
                <c:pt idx="21">
                  <c:v>1270.5129999999999</c:v>
                </c:pt>
                <c:pt idx="22">
                  <c:v>1303.6469999999999</c:v>
                </c:pt>
                <c:pt idx="23">
                  <c:v>1332.7626</c:v>
                </c:pt>
                <c:pt idx="24">
                  <c:v>1358.2044000000001</c:v>
                </c:pt>
                <c:pt idx="25">
                  <c:v>1380.3552999999999</c:v>
                </c:pt>
                <c:pt idx="26">
                  <c:v>1392.5385000000001</c:v>
                </c:pt>
                <c:pt idx="27">
                  <c:v>1409.0417</c:v>
                </c:pt>
                <c:pt idx="28">
                  <c:v>1423.3571999999999</c:v>
                </c:pt>
                <c:pt idx="29">
                  <c:v>1435.8741</c:v>
                </c:pt>
                <c:pt idx="30">
                  <c:v>1446.7623000000001</c:v>
                </c:pt>
                <c:pt idx="31">
                  <c:v>1456.1519000000001</c:v>
                </c:pt>
                <c:pt idx="32">
                  <c:v>1464.2043000000001</c:v>
                </c:pt>
                <c:pt idx="33">
                  <c:v>1471.0652</c:v>
                </c:pt>
                <c:pt idx="34">
                  <c:v>1476.9050999999999</c:v>
                </c:pt>
                <c:pt idx="35">
                  <c:v>1481.866</c:v>
                </c:pt>
                <c:pt idx="36">
                  <c:v>1486.0577000000001</c:v>
                </c:pt>
                <c:pt idx="37">
                  <c:v>1489.6072999999999</c:v>
                </c:pt>
                <c:pt idx="38">
                  <c:v>1492.596</c:v>
                </c:pt>
                <c:pt idx="39">
                  <c:v>1495.1238000000001</c:v>
                </c:pt>
                <c:pt idx="40">
                  <c:v>1497.2452000000001</c:v>
                </c:pt>
                <c:pt idx="41">
                  <c:v>1499.0364</c:v>
                </c:pt>
                <c:pt idx="42">
                  <c:v>1500.5489</c:v>
                </c:pt>
                <c:pt idx="43">
                  <c:v>1501.8240000000001</c:v>
                </c:pt>
                <c:pt idx="44">
                  <c:v>1501.9570000000001</c:v>
                </c:pt>
                <c:pt idx="45">
                  <c:v>1491.4808</c:v>
                </c:pt>
                <c:pt idx="46">
                  <c:v>1480.6342</c:v>
                </c:pt>
                <c:pt idx="47">
                  <c:v>1471.2011</c:v>
                </c:pt>
                <c:pt idx="48">
                  <c:v>1463.1084000000001</c:v>
                </c:pt>
                <c:pt idx="49">
                  <c:v>1456.1380999999999</c:v>
                </c:pt>
                <c:pt idx="50">
                  <c:v>1450.1198999999999</c:v>
                </c:pt>
                <c:pt idx="51">
                  <c:v>1444.9168</c:v>
                </c:pt>
                <c:pt idx="52">
                  <c:v>1440.4150999999999</c:v>
                </c:pt>
                <c:pt idx="53">
                  <c:v>1436.5199</c:v>
                </c:pt>
                <c:pt idx="54">
                  <c:v>1433.1375</c:v>
                </c:pt>
                <c:pt idx="55">
                  <c:v>1430.1991</c:v>
                </c:pt>
                <c:pt idx="56">
                  <c:v>1427.6612</c:v>
                </c:pt>
                <c:pt idx="57">
                  <c:v>1425.4594</c:v>
                </c:pt>
                <c:pt idx="58">
                  <c:v>1423.5495000000001</c:v>
                </c:pt>
                <c:pt idx="59">
                  <c:v>1421.8957</c:v>
                </c:pt>
                <c:pt idx="60">
                  <c:v>1420.4648999999999</c:v>
                </c:pt>
                <c:pt idx="61">
                  <c:v>1419.2152000000001</c:v>
                </c:pt>
                <c:pt idx="62">
                  <c:v>1418.1389999999999</c:v>
                </c:pt>
                <c:pt idx="63">
                  <c:v>1417.2144000000001</c:v>
                </c:pt>
                <c:pt idx="64">
                  <c:v>1416.4087</c:v>
                </c:pt>
                <c:pt idx="65">
                  <c:v>1415.7074</c:v>
                </c:pt>
                <c:pt idx="66">
                  <c:v>1415.1142</c:v>
                </c:pt>
                <c:pt idx="67">
                  <c:v>1414.6012000000001</c:v>
                </c:pt>
                <c:pt idx="68">
                  <c:v>1414.1595</c:v>
                </c:pt>
                <c:pt idx="69">
                  <c:v>1413.7655</c:v>
                </c:pt>
                <c:pt idx="70">
                  <c:v>1413.4296999999999</c:v>
                </c:pt>
                <c:pt idx="71">
                  <c:v>1413.1467</c:v>
                </c:pt>
                <c:pt idx="72">
                  <c:v>1412.8967</c:v>
                </c:pt>
                <c:pt idx="73">
                  <c:v>1412.6754000000001</c:v>
                </c:pt>
                <c:pt idx="74">
                  <c:v>1412.4965</c:v>
                </c:pt>
                <c:pt idx="75">
                  <c:v>1412.3420000000001</c:v>
                </c:pt>
                <c:pt idx="76">
                  <c:v>1412.2090000000001</c:v>
                </c:pt>
                <c:pt idx="77">
                  <c:v>1412.0974000000001</c:v>
                </c:pt>
                <c:pt idx="78">
                  <c:v>1411.9893999999999</c:v>
                </c:pt>
                <c:pt idx="79">
                  <c:v>1411.8997999999999</c:v>
                </c:pt>
                <c:pt idx="80">
                  <c:v>1411.8290999999999</c:v>
                </c:pt>
                <c:pt idx="81">
                  <c:v>1411.7599</c:v>
                </c:pt>
                <c:pt idx="82">
                  <c:v>1411.7075</c:v>
                </c:pt>
                <c:pt idx="83">
                  <c:v>1411.6559</c:v>
                </c:pt>
                <c:pt idx="84">
                  <c:v>1411.6219000000001</c:v>
                </c:pt>
                <c:pt idx="85">
                  <c:v>1411.5881999999999</c:v>
                </c:pt>
                <c:pt idx="86">
                  <c:v>1411.5549000000001</c:v>
                </c:pt>
                <c:pt idx="87">
                  <c:v>1411.5219999999999</c:v>
                </c:pt>
                <c:pt idx="88">
                  <c:v>1411.5047</c:v>
                </c:pt>
                <c:pt idx="89">
                  <c:v>1411.4875999999999</c:v>
                </c:pt>
                <c:pt idx="90">
                  <c:v>1411.4704999999999</c:v>
                </c:pt>
                <c:pt idx="91">
                  <c:v>1411.4536000000001</c:v>
                </c:pt>
                <c:pt idx="92">
                  <c:v>1411.4367999999999</c:v>
                </c:pt>
                <c:pt idx="93">
                  <c:v>1411.4201</c:v>
                </c:pt>
                <c:pt idx="94">
                  <c:v>1411.4194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05-4B29-BF74-61084D33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262976"/>
        <c:axId val="152622208"/>
      </c:scatterChart>
      <c:valAx>
        <c:axId val="1572629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600"/>
                </a:pPr>
                <a:r>
                  <a:rPr lang="pt-BR" sz="1600"/>
                  <a:t>Tempo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600" b="0"/>
            </a:pPr>
            <a:endParaRPr lang="pt-BR"/>
          </a:p>
        </c:txPr>
        <c:crossAx val="152622208"/>
        <c:crosses val="autoZero"/>
        <c:crossBetween val="midCat"/>
      </c:valAx>
      <c:valAx>
        <c:axId val="1526222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pt-BR" sz="1800"/>
                  <a:t>Temperatura</a:t>
                </a:r>
                <a:r>
                  <a:rPr lang="pt-BR" sz="1800" baseline="0"/>
                  <a:t> (K)</a:t>
                </a:r>
                <a:endParaRPr lang="pt-BR" sz="1800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600"/>
            </a:pPr>
            <a:endParaRPr lang="pt-BR"/>
          </a:p>
        </c:txPr>
        <c:crossAx val="15726297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84544035093094"/>
          <c:y val="0.74552330433827363"/>
          <c:w val="0.27268876660817404"/>
          <c:h val="9.7485226720110812E-2"/>
        </c:manualLayout>
      </c:layout>
      <c:overlay val="1"/>
      <c:spPr>
        <a:solidFill>
          <a:schemeClr val="bg1"/>
        </a:solidFill>
        <a:ln>
          <a:solidFill>
            <a:sysClr val="windowText" lastClr="000000"/>
          </a:solidFill>
        </a:ln>
      </c:spPr>
      <c:txPr>
        <a:bodyPr/>
        <a:lstStyle/>
        <a:p>
          <a:pPr>
            <a:defRPr sz="1400"/>
          </a:pPr>
          <a:endParaRPr lang="pt-BR"/>
        </a:p>
      </c:txPr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Ponto 9 - X=0,75 m / Y = 0,05m</a:t>
            </a:r>
          </a:p>
        </c:rich>
      </c:tx>
      <c:layout>
        <c:manualLayout>
          <c:xMode val="edge"/>
          <c:yMode val="edge"/>
          <c:x val="0.34306072191922404"/>
          <c:y val="1.2760416317792643E-2"/>
        </c:manualLayout>
      </c:layout>
      <c:overlay val="0"/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'IndepMalha 200s'!$C$861:$E$861</c:f>
              <c:strCache>
                <c:ptCount val="1"/>
                <c:pt idx="0">
                  <c:v>TDMA with ADI 241x241 - 200s</c:v>
                </c:pt>
              </c:strCache>
            </c:strRef>
          </c:tx>
          <c:marker>
            <c:symbol val="circle"/>
            <c:size val="9"/>
            <c:spPr>
              <a:solidFill>
                <a:schemeClr val="bg1"/>
              </a:solidFill>
              <a:ln w="22225"/>
            </c:spPr>
          </c:marker>
          <c:xVal>
            <c:numRef>
              <c:f>'IndepMalha 200s'!$B$870:$B$964</c:f>
              <c:numCache>
                <c:formatCode>0.00</c:formatCode>
                <c:ptCount val="95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200s'!$E$870:$E$964</c:f>
              <c:numCache>
                <c:formatCode>0.00</c:formatCode>
                <c:ptCount val="95"/>
                <c:pt idx="0">
                  <c:v>300</c:v>
                </c:pt>
                <c:pt idx="1">
                  <c:v>350.31020000000001</c:v>
                </c:pt>
                <c:pt idx="2">
                  <c:v>409.3254</c:v>
                </c:pt>
                <c:pt idx="3">
                  <c:v>466.6694</c:v>
                </c:pt>
                <c:pt idx="4">
                  <c:v>520.33349999999996</c:v>
                </c:pt>
                <c:pt idx="5">
                  <c:v>570.62189999999998</c:v>
                </c:pt>
                <c:pt idx="6">
                  <c:v>604.38549999999998</c:v>
                </c:pt>
                <c:pt idx="7">
                  <c:v>672.19119999999998</c:v>
                </c:pt>
                <c:pt idx="8">
                  <c:v>739.48239999999998</c:v>
                </c:pt>
                <c:pt idx="9">
                  <c:v>801.0213</c:v>
                </c:pt>
                <c:pt idx="10">
                  <c:v>855.06179999999995</c:v>
                </c:pt>
                <c:pt idx="11">
                  <c:v>901.55539999999996</c:v>
                </c:pt>
                <c:pt idx="12">
                  <c:v>941.62310000000002</c:v>
                </c:pt>
                <c:pt idx="13">
                  <c:v>976.9665</c:v>
                </c:pt>
                <c:pt idx="14">
                  <c:v>1009.3062</c:v>
                </c:pt>
                <c:pt idx="15">
                  <c:v>1041.0343</c:v>
                </c:pt>
                <c:pt idx="16">
                  <c:v>1060.7193</c:v>
                </c:pt>
                <c:pt idx="17">
                  <c:v>1105.538</c:v>
                </c:pt>
                <c:pt idx="18">
                  <c:v>1153.7686000000001</c:v>
                </c:pt>
                <c:pt idx="19">
                  <c:v>1200.2075</c:v>
                </c:pt>
                <c:pt idx="20">
                  <c:v>1242.1101000000001</c:v>
                </c:pt>
                <c:pt idx="21">
                  <c:v>1278.8909000000001</c:v>
                </c:pt>
                <c:pt idx="22">
                  <c:v>1310.9265</c:v>
                </c:pt>
                <c:pt idx="23">
                  <c:v>1338.6917000000001</c:v>
                </c:pt>
                <c:pt idx="24">
                  <c:v>1362.6587</c:v>
                </c:pt>
                <c:pt idx="25">
                  <c:v>1383.2239999999999</c:v>
                </c:pt>
                <c:pt idx="26">
                  <c:v>1394.4549</c:v>
                </c:pt>
                <c:pt idx="27">
                  <c:v>1409.4384</c:v>
                </c:pt>
                <c:pt idx="28">
                  <c:v>1422.2575999999999</c:v>
                </c:pt>
                <c:pt idx="29">
                  <c:v>1433.3271999999999</c:v>
                </c:pt>
                <c:pt idx="30">
                  <c:v>1442.8468</c:v>
                </c:pt>
                <c:pt idx="31">
                  <c:v>1451.0142000000001</c:v>
                </c:pt>
                <c:pt idx="32">
                  <c:v>1457.9694999999999</c:v>
                </c:pt>
                <c:pt idx="33">
                  <c:v>1463.8720000000001</c:v>
                </c:pt>
                <c:pt idx="34">
                  <c:v>1468.8648000000001</c:v>
                </c:pt>
                <c:pt idx="35">
                  <c:v>1473.0998999999999</c:v>
                </c:pt>
                <c:pt idx="36">
                  <c:v>1476.6789000000001</c:v>
                </c:pt>
                <c:pt idx="37">
                  <c:v>1479.6919</c:v>
                </c:pt>
                <c:pt idx="38">
                  <c:v>1482.2366999999999</c:v>
                </c:pt>
                <c:pt idx="39">
                  <c:v>1484.3958</c:v>
                </c:pt>
                <c:pt idx="40">
                  <c:v>1486.2177999999999</c:v>
                </c:pt>
                <c:pt idx="41">
                  <c:v>1487.7380000000001</c:v>
                </c:pt>
                <c:pt idx="42">
                  <c:v>1489.0401999999999</c:v>
                </c:pt>
                <c:pt idx="43">
                  <c:v>1490.1196</c:v>
                </c:pt>
                <c:pt idx="44">
                  <c:v>1490.2334000000001</c:v>
                </c:pt>
                <c:pt idx="45">
                  <c:v>1483.0415</c:v>
                </c:pt>
                <c:pt idx="46">
                  <c:v>1475.0282999999999</c:v>
                </c:pt>
                <c:pt idx="47">
                  <c:v>1467.9763</c:v>
                </c:pt>
                <c:pt idx="48">
                  <c:v>1461.8661999999999</c:v>
                </c:pt>
                <c:pt idx="49">
                  <c:v>1456.5957000000001</c:v>
                </c:pt>
                <c:pt idx="50">
                  <c:v>1452.0331000000001</c:v>
                </c:pt>
                <c:pt idx="51">
                  <c:v>1448.1178</c:v>
                </c:pt>
                <c:pt idx="52">
                  <c:v>1444.7396000000001</c:v>
                </c:pt>
                <c:pt idx="53">
                  <c:v>1441.8523</c:v>
                </c:pt>
                <c:pt idx="54">
                  <c:v>1439.3838000000001</c:v>
                </c:pt>
                <c:pt idx="55">
                  <c:v>1437.2681</c:v>
                </c:pt>
                <c:pt idx="56">
                  <c:v>1435.4751000000001</c:v>
                </c:pt>
                <c:pt idx="57">
                  <c:v>1433.9219000000001</c:v>
                </c:pt>
                <c:pt idx="58">
                  <c:v>1432.6164000000001</c:v>
                </c:pt>
                <c:pt idx="59">
                  <c:v>1431.4840999999999</c:v>
                </c:pt>
                <c:pt idx="60">
                  <c:v>1430.5404000000001</c:v>
                </c:pt>
                <c:pt idx="61">
                  <c:v>1429.7168999999999</c:v>
                </c:pt>
                <c:pt idx="62">
                  <c:v>1429.0346</c:v>
                </c:pt>
                <c:pt idx="63">
                  <c:v>1428.4292</c:v>
                </c:pt>
                <c:pt idx="64">
                  <c:v>1427.9262000000001</c:v>
                </c:pt>
                <c:pt idx="65">
                  <c:v>1427.4917</c:v>
                </c:pt>
                <c:pt idx="66">
                  <c:v>1427.1231</c:v>
                </c:pt>
                <c:pt idx="67">
                  <c:v>1426.8181</c:v>
                </c:pt>
                <c:pt idx="68">
                  <c:v>1426.5452</c:v>
                </c:pt>
                <c:pt idx="69">
                  <c:v>1426.3334</c:v>
                </c:pt>
                <c:pt idx="70">
                  <c:v>1426.1239</c:v>
                </c:pt>
                <c:pt idx="71">
                  <c:v>1425.9738</c:v>
                </c:pt>
                <c:pt idx="72">
                  <c:v>1425.825</c:v>
                </c:pt>
                <c:pt idx="73">
                  <c:v>1425.7072000000001</c:v>
                </c:pt>
                <c:pt idx="74">
                  <c:v>1425.6177</c:v>
                </c:pt>
                <c:pt idx="75">
                  <c:v>1425.5287000000001</c:v>
                </c:pt>
                <c:pt idx="76">
                  <c:v>1425.4401</c:v>
                </c:pt>
                <c:pt idx="77">
                  <c:v>1425.3816999999999</c:v>
                </c:pt>
                <c:pt idx="78">
                  <c:v>1425.3235</c:v>
                </c:pt>
                <c:pt idx="79">
                  <c:v>1425.2655999999999</c:v>
                </c:pt>
                <c:pt idx="80">
                  <c:v>1425.2354</c:v>
                </c:pt>
                <c:pt idx="81">
                  <c:v>1425.2052000000001</c:v>
                </c:pt>
                <c:pt idx="82">
                  <c:v>1425.1751999999999</c:v>
                </c:pt>
                <c:pt idx="83">
                  <c:v>1425.1451</c:v>
                </c:pt>
                <c:pt idx="84">
                  <c:v>1425.1152</c:v>
                </c:pt>
                <c:pt idx="85">
                  <c:v>1425.114</c:v>
                </c:pt>
                <c:pt idx="86">
                  <c:v>1425.1129000000001</c:v>
                </c:pt>
                <c:pt idx="87">
                  <c:v>1425.1117999999999</c:v>
                </c:pt>
                <c:pt idx="88">
                  <c:v>1425.1107</c:v>
                </c:pt>
                <c:pt idx="89">
                  <c:v>1425.1096</c:v>
                </c:pt>
                <c:pt idx="90">
                  <c:v>1425.1085</c:v>
                </c:pt>
                <c:pt idx="91">
                  <c:v>1425.1072999999999</c:v>
                </c:pt>
                <c:pt idx="92">
                  <c:v>1425.1061999999999</c:v>
                </c:pt>
                <c:pt idx="93">
                  <c:v>1425.1051</c:v>
                </c:pt>
                <c:pt idx="94">
                  <c:v>1425.104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9-4169-86B1-2719960EDCF4}"/>
            </c:ext>
          </c:extLst>
        </c:ser>
        <c:ser>
          <c:idx val="0"/>
          <c:order val="1"/>
          <c:tx>
            <c:strRef>
              <c:f>'IndepMalha 200s'!$K$861:$M$861</c:f>
              <c:strCache>
                <c:ptCount val="1"/>
                <c:pt idx="0">
                  <c:v>TDMA with ADI 121x121 - 200s</c:v>
                </c:pt>
              </c:strCache>
            </c:strRef>
          </c:tx>
          <c:xVal>
            <c:numRef>
              <c:f>'IndepMalha 200s'!$J$870:$J$964</c:f>
              <c:numCache>
                <c:formatCode>0.00</c:formatCode>
                <c:ptCount val="95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600</c:v>
                </c:pt>
                <c:pt idx="4">
                  <c:v>800</c:v>
                </c:pt>
                <c:pt idx="5">
                  <c:v>1000</c:v>
                </c:pt>
                <c:pt idx="6">
                  <c:v>1140</c:v>
                </c:pt>
                <c:pt idx="7">
                  <c:v>1340</c:v>
                </c:pt>
                <c:pt idx="8">
                  <c:v>1540</c:v>
                </c:pt>
                <c:pt idx="9">
                  <c:v>1740</c:v>
                </c:pt>
                <c:pt idx="10">
                  <c:v>1940</c:v>
                </c:pt>
                <c:pt idx="11">
                  <c:v>2140</c:v>
                </c:pt>
                <c:pt idx="12">
                  <c:v>2340</c:v>
                </c:pt>
                <c:pt idx="13">
                  <c:v>2540</c:v>
                </c:pt>
                <c:pt idx="14">
                  <c:v>2740</c:v>
                </c:pt>
                <c:pt idx="15">
                  <c:v>2940</c:v>
                </c:pt>
                <c:pt idx="16">
                  <c:v>3060</c:v>
                </c:pt>
                <c:pt idx="17">
                  <c:v>3260</c:v>
                </c:pt>
                <c:pt idx="18">
                  <c:v>3460</c:v>
                </c:pt>
                <c:pt idx="19">
                  <c:v>3660</c:v>
                </c:pt>
                <c:pt idx="20">
                  <c:v>3860</c:v>
                </c:pt>
                <c:pt idx="21">
                  <c:v>4060</c:v>
                </c:pt>
                <c:pt idx="22">
                  <c:v>4260</c:v>
                </c:pt>
                <c:pt idx="23">
                  <c:v>4460</c:v>
                </c:pt>
                <c:pt idx="24">
                  <c:v>4660</c:v>
                </c:pt>
                <c:pt idx="25">
                  <c:v>4860</c:v>
                </c:pt>
                <c:pt idx="26">
                  <c:v>4980</c:v>
                </c:pt>
                <c:pt idx="27">
                  <c:v>5180</c:v>
                </c:pt>
                <c:pt idx="28">
                  <c:v>5380</c:v>
                </c:pt>
                <c:pt idx="29">
                  <c:v>5580</c:v>
                </c:pt>
                <c:pt idx="30">
                  <c:v>5780</c:v>
                </c:pt>
                <c:pt idx="31">
                  <c:v>5980</c:v>
                </c:pt>
                <c:pt idx="32">
                  <c:v>6180</c:v>
                </c:pt>
                <c:pt idx="33">
                  <c:v>6380</c:v>
                </c:pt>
                <c:pt idx="34">
                  <c:v>6580</c:v>
                </c:pt>
                <c:pt idx="35">
                  <c:v>6780</c:v>
                </c:pt>
                <c:pt idx="36">
                  <c:v>6980</c:v>
                </c:pt>
                <c:pt idx="37">
                  <c:v>7180</c:v>
                </c:pt>
                <c:pt idx="38">
                  <c:v>7380</c:v>
                </c:pt>
                <c:pt idx="39">
                  <c:v>7580</c:v>
                </c:pt>
                <c:pt idx="40">
                  <c:v>7780</c:v>
                </c:pt>
                <c:pt idx="41">
                  <c:v>7980</c:v>
                </c:pt>
                <c:pt idx="42">
                  <c:v>8180</c:v>
                </c:pt>
                <c:pt idx="43">
                  <c:v>8380</c:v>
                </c:pt>
                <c:pt idx="44">
                  <c:v>8400</c:v>
                </c:pt>
                <c:pt idx="45">
                  <c:v>8600</c:v>
                </c:pt>
                <c:pt idx="46">
                  <c:v>8800</c:v>
                </c:pt>
                <c:pt idx="47">
                  <c:v>9000</c:v>
                </c:pt>
                <c:pt idx="48">
                  <c:v>9200</c:v>
                </c:pt>
                <c:pt idx="49">
                  <c:v>9400</c:v>
                </c:pt>
                <c:pt idx="50">
                  <c:v>9600</c:v>
                </c:pt>
                <c:pt idx="51">
                  <c:v>9800</c:v>
                </c:pt>
                <c:pt idx="52">
                  <c:v>10000</c:v>
                </c:pt>
                <c:pt idx="53">
                  <c:v>10200</c:v>
                </c:pt>
                <c:pt idx="54">
                  <c:v>10400</c:v>
                </c:pt>
                <c:pt idx="55">
                  <c:v>10600</c:v>
                </c:pt>
                <c:pt idx="56">
                  <c:v>10800</c:v>
                </c:pt>
                <c:pt idx="57">
                  <c:v>11000</c:v>
                </c:pt>
                <c:pt idx="58">
                  <c:v>11200</c:v>
                </c:pt>
                <c:pt idx="59">
                  <c:v>11400</c:v>
                </c:pt>
                <c:pt idx="60">
                  <c:v>11600</c:v>
                </c:pt>
                <c:pt idx="61">
                  <c:v>11800</c:v>
                </c:pt>
                <c:pt idx="62">
                  <c:v>12000</c:v>
                </c:pt>
                <c:pt idx="63">
                  <c:v>12200</c:v>
                </c:pt>
                <c:pt idx="64">
                  <c:v>12400</c:v>
                </c:pt>
                <c:pt idx="65">
                  <c:v>12600</c:v>
                </c:pt>
                <c:pt idx="66">
                  <c:v>12800</c:v>
                </c:pt>
                <c:pt idx="67">
                  <c:v>13000</c:v>
                </c:pt>
                <c:pt idx="68">
                  <c:v>13200</c:v>
                </c:pt>
                <c:pt idx="69">
                  <c:v>13400</c:v>
                </c:pt>
                <c:pt idx="70">
                  <c:v>13600</c:v>
                </c:pt>
                <c:pt idx="71">
                  <c:v>13800</c:v>
                </c:pt>
                <c:pt idx="72">
                  <c:v>14000</c:v>
                </c:pt>
                <c:pt idx="73">
                  <c:v>14200</c:v>
                </c:pt>
                <c:pt idx="74">
                  <c:v>14400</c:v>
                </c:pt>
                <c:pt idx="75">
                  <c:v>14600</c:v>
                </c:pt>
                <c:pt idx="76">
                  <c:v>14800</c:v>
                </c:pt>
                <c:pt idx="77">
                  <c:v>15000</c:v>
                </c:pt>
                <c:pt idx="78">
                  <c:v>15200</c:v>
                </c:pt>
                <c:pt idx="79">
                  <c:v>15400</c:v>
                </c:pt>
                <c:pt idx="80">
                  <c:v>15600</c:v>
                </c:pt>
                <c:pt idx="81">
                  <c:v>15800</c:v>
                </c:pt>
                <c:pt idx="82">
                  <c:v>16000</c:v>
                </c:pt>
                <c:pt idx="83">
                  <c:v>16200</c:v>
                </c:pt>
                <c:pt idx="84">
                  <c:v>16400</c:v>
                </c:pt>
                <c:pt idx="85">
                  <c:v>16600</c:v>
                </c:pt>
                <c:pt idx="86">
                  <c:v>16800</c:v>
                </c:pt>
                <c:pt idx="87">
                  <c:v>17000</c:v>
                </c:pt>
                <c:pt idx="88">
                  <c:v>17200</c:v>
                </c:pt>
                <c:pt idx="89">
                  <c:v>17400</c:v>
                </c:pt>
                <c:pt idx="90">
                  <c:v>17600</c:v>
                </c:pt>
                <c:pt idx="91">
                  <c:v>17800</c:v>
                </c:pt>
                <c:pt idx="92">
                  <c:v>18000</c:v>
                </c:pt>
                <c:pt idx="93">
                  <c:v>18200</c:v>
                </c:pt>
                <c:pt idx="94">
                  <c:v>18400</c:v>
                </c:pt>
              </c:numCache>
            </c:numRef>
          </c:xVal>
          <c:yVal>
            <c:numRef>
              <c:f>'IndepMalha 200s'!$M$870:$M$964</c:f>
              <c:numCache>
                <c:formatCode>0.00</c:formatCode>
                <c:ptCount val="95"/>
                <c:pt idx="0">
                  <c:v>300</c:v>
                </c:pt>
                <c:pt idx="1">
                  <c:v>353.56799999999998</c:v>
                </c:pt>
                <c:pt idx="2">
                  <c:v>415.2801</c:v>
                </c:pt>
                <c:pt idx="3">
                  <c:v>474.721</c:v>
                </c:pt>
                <c:pt idx="4">
                  <c:v>530.19759999999997</c:v>
                </c:pt>
                <c:pt idx="5">
                  <c:v>582.22580000000005</c:v>
                </c:pt>
                <c:pt idx="6">
                  <c:v>617.15689999999995</c:v>
                </c:pt>
                <c:pt idx="7">
                  <c:v>686.3723</c:v>
                </c:pt>
                <c:pt idx="8">
                  <c:v>754.6087</c:v>
                </c:pt>
                <c:pt idx="9">
                  <c:v>816.34960000000001</c:v>
                </c:pt>
                <c:pt idx="10">
                  <c:v>869.95119999999997</c:v>
                </c:pt>
                <c:pt idx="11">
                  <c:v>915.63930000000005</c:v>
                </c:pt>
                <c:pt idx="12">
                  <c:v>955.02319999999997</c:v>
                </c:pt>
                <c:pt idx="13">
                  <c:v>990.00199999999995</c:v>
                </c:pt>
                <c:pt idx="14">
                  <c:v>1022.7371000000001</c:v>
                </c:pt>
                <c:pt idx="15">
                  <c:v>1056.5881999999999</c:v>
                </c:pt>
                <c:pt idx="16">
                  <c:v>1077.6565000000001</c:v>
                </c:pt>
                <c:pt idx="17">
                  <c:v>1125.1161999999999</c:v>
                </c:pt>
                <c:pt idx="18">
                  <c:v>1175.1174000000001</c:v>
                </c:pt>
                <c:pt idx="19">
                  <c:v>1221.9555</c:v>
                </c:pt>
                <c:pt idx="20">
                  <c:v>1263.3575000000001</c:v>
                </c:pt>
                <c:pt idx="21">
                  <c:v>1299.5714</c:v>
                </c:pt>
                <c:pt idx="22">
                  <c:v>1331.0356999999999</c:v>
                </c:pt>
                <c:pt idx="23">
                  <c:v>1358.2303999999999</c:v>
                </c:pt>
                <c:pt idx="24">
                  <c:v>1381.5915</c:v>
                </c:pt>
                <c:pt idx="25">
                  <c:v>1401.5876000000001</c:v>
                </c:pt>
                <c:pt idx="26">
                  <c:v>1412.4666999999999</c:v>
                </c:pt>
                <c:pt idx="27">
                  <c:v>1426.8536999999999</c:v>
                </c:pt>
                <c:pt idx="28">
                  <c:v>1439.1415</c:v>
                </c:pt>
                <c:pt idx="29">
                  <c:v>1449.7464</c:v>
                </c:pt>
                <c:pt idx="30">
                  <c:v>1458.86</c:v>
                </c:pt>
                <c:pt idx="31">
                  <c:v>1466.6316999999999</c:v>
                </c:pt>
                <c:pt idx="32">
                  <c:v>1473.2309</c:v>
                </c:pt>
                <c:pt idx="33">
                  <c:v>1478.8056999999999</c:v>
                </c:pt>
                <c:pt idx="34">
                  <c:v>1483.5163</c:v>
                </c:pt>
                <c:pt idx="35">
                  <c:v>1487.4937</c:v>
                </c:pt>
                <c:pt idx="36">
                  <c:v>1490.8376000000001</c:v>
                </c:pt>
                <c:pt idx="37">
                  <c:v>1493.6574000000001</c:v>
                </c:pt>
                <c:pt idx="38">
                  <c:v>1496.0235</c:v>
                </c:pt>
                <c:pt idx="39">
                  <c:v>1498.0197000000001</c:v>
                </c:pt>
                <c:pt idx="40">
                  <c:v>1499.6912</c:v>
                </c:pt>
                <c:pt idx="41">
                  <c:v>1501.0998999999999</c:v>
                </c:pt>
                <c:pt idx="42">
                  <c:v>1502.288</c:v>
                </c:pt>
                <c:pt idx="43">
                  <c:v>1503.2882</c:v>
                </c:pt>
                <c:pt idx="44">
                  <c:v>1503.3927000000001</c:v>
                </c:pt>
                <c:pt idx="45">
                  <c:v>1492.577</c:v>
                </c:pt>
                <c:pt idx="46">
                  <c:v>1481.3243</c:v>
                </c:pt>
                <c:pt idx="47">
                  <c:v>1471.4165</c:v>
                </c:pt>
                <c:pt idx="48">
                  <c:v>1462.8208999999999</c:v>
                </c:pt>
                <c:pt idx="49">
                  <c:v>1455.3655000000001</c:v>
                </c:pt>
                <c:pt idx="50">
                  <c:v>1448.9155000000001</c:v>
                </c:pt>
                <c:pt idx="51">
                  <c:v>1443.3527999999999</c:v>
                </c:pt>
                <c:pt idx="52">
                  <c:v>1438.5699</c:v>
                </c:pt>
                <c:pt idx="53">
                  <c:v>1434.4683</c:v>
                </c:pt>
                <c:pt idx="54">
                  <c:v>1430.9457</c:v>
                </c:pt>
                <c:pt idx="55">
                  <c:v>1427.9229</c:v>
                </c:pt>
                <c:pt idx="56">
                  <c:v>1425.3454999999999</c:v>
                </c:pt>
                <c:pt idx="57">
                  <c:v>1423.1386</c:v>
                </c:pt>
                <c:pt idx="58">
                  <c:v>1421.2492999999999</c:v>
                </c:pt>
                <c:pt idx="59">
                  <c:v>1419.6342</c:v>
                </c:pt>
                <c:pt idx="60">
                  <c:v>1418.2537</c:v>
                </c:pt>
                <c:pt idx="61">
                  <c:v>1417.0619999999999</c:v>
                </c:pt>
                <c:pt idx="62">
                  <c:v>1416.0472</c:v>
                </c:pt>
                <c:pt idx="63">
                  <c:v>1415.1839</c:v>
                </c:pt>
                <c:pt idx="64">
                  <c:v>1414.4386</c:v>
                </c:pt>
                <c:pt idx="65">
                  <c:v>1413.7956999999999</c:v>
                </c:pt>
                <c:pt idx="66">
                  <c:v>1413.2562</c:v>
                </c:pt>
                <c:pt idx="67">
                  <c:v>1412.7928999999999</c:v>
                </c:pt>
                <c:pt idx="68">
                  <c:v>1412.3966</c:v>
                </c:pt>
                <c:pt idx="69">
                  <c:v>1412.0450000000001</c:v>
                </c:pt>
                <c:pt idx="70">
                  <c:v>1411.7470000000001</c:v>
                </c:pt>
                <c:pt idx="71">
                  <c:v>1411.4970000000001</c:v>
                </c:pt>
                <c:pt idx="72">
                  <c:v>1411.2771</c:v>
                </c:pt>
                <c:pt idx="73">
                  <c:v>1411.0832</c:v>
                </c:pt>
                <c:pt idx="74">
                  <c:v>1410.9268999999999</c:v>
                </c:pt>
                <c:pt idx="75">
                  <c:v>1410.7924</c:v>
                </c:pt>
                <c:pt idx="76">
                  <c:v>1410.6768</c:v>
                </c:pt>
                <c:pt idx="77">
                  <c:v>1410.5800999999999</c:v>
                </c:pt>
                <c:pt idx="78">
                  <c:v>1410.4866999999999</c:v>
                </c:pt>
                <c:pt idx="79">
                  <c:v>1410.4092000000001</c:v>
                </c:pt>
                <c:pt idx="80">
                  <c:v>1410.3481999999999</c:v>
                </c:pt>
                <c:pt idx="81">
                  <c:v>1410.2887000000001</c:v>
                </c:pt>
                <c:pt idx="82">
                  <c:v>1410.2434000000001</c:v>
                </c:pt>
                <c:pt idx="83">
                  <c:v>1410.1990000000001</c:v>
                </c:pt>
                <c:pt idx="84">
                  <c:v>1410.1697999999999</c:v>
                </c:pt>
                <c:pt idx="85">
                  <c:v>1410.1409000000001</c:v>
                </c:pt>
                <c:pt idx="86">
                  <c:v>1410.1123</c:v>
                </c:pt>
                <c:pt idx="87">
                  <c:v>1410.0842</c:v>
                </c:pt>
                <c:pt idx="88">
                  <c:v>1410.0691999999999</c:v>
                </c:pt>
                <c:pt idx="89">
                  <c:v>1410.0544</c:v>
                </c:pt>
                <c:pt idx="90">
                  <c:v>1410.0397</c:v>
                </c:pt>
                <c:pt idx="91">
                  <c:v>1410.0250000000001</c:v>
                </c:pt>
                <c:pt idx="92">
                  <c:v>1410.0105000000001</c:v>
                </c:pt>
                <c:pt idx="93">
                  <c:v>1409.9960000000001</c:v>
                </c:pt>
                <c:pt idx="94">
                  <c:v>1409.9955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9-4169-86B1-2719960ED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402752"/>
        <c:axId val="158268800"/>
      </c:scatterChart>
      <c:valAx>
        <c:axId val="1534027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600"/>
                </a:pPr>
                <a:r>
                  <a:rPr lang="pt-BR" sz="1600"/>
                  <a:t>Tempo (s)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</a:ln>
        </c:spPr>
        <c:txPr>
          <a:bodyPr/>
          <a:lstStyle/>
          <a:p>
            <a:pPr>
              <a:defRPr sz="1600" b="0"/>
            </a:pPr>
            <a:endParaRPr lang="pt-BR"/>
          </a:p>
        </c:txPr>
        <c:crossAx val="158268800"/>
        <c:crosses val="autoZero"/>
        <c:crossBetween val="midCat"/>
      </c:valAx>
      <c:valAx>
        <c:axId val="158268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pt-BR" sz="1800"/>
                  <a:t>Temperatura</a:t>
                </a:r>
                <a:r>
                  <a:rPr lang="pt-BR" sz="1800" baseline="0"/>
                  <a:t> (K)</a:t>
                </a:r>
                <a:endParaRPr lang="pt-BR" sz="1800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600"/>
            </a:pPr>
            <a:endParaRPr lang="pt-BR"/>
          </a:p>
        </c:txPr>
        <c:crossAx val="153402752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6845440350930962"/>
          <c:y val="0.74552330433827363"/>
          <c:w val="0.27268876660817404"/>
          <c:h val="9.7485226720110812E-2"/>
        </c:manualLayout>
      </c:layout>
      <c:overlay val="1"/>
      <c:spPr>
        <a:solidFill>
          <a:schemeClr val="bg1"/>
        </a:solidFill>
        <a:ln>
          <a:solidFill>
            <a:sysClr val="windowText" lastClr="000000"/>
          </a:solidFill>
        </a:ln>
      </c:spPr>
      <c:txPr>
        <a:bodyPr/>
        <a:lstStyle/>
        <a:p>
          <a:pPr>
            <a:defRPr sz="1400"/>
          </a:pPr>
          <a:endParaRPr lang="pt-BR"/>
        </a:p>
      </c:txPr>
    </c:legend>
    <c:plotVisOnly val="1"/>
    <c:dispBlanksAs val="gap"/>
    <c:showDLblsOverMax val="0"/>
  </c:char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Teste</a:t>
            </a:r>
            <a:r>
              <a:rPr lang="pt-BR" baseline="0"/>
              <a:t> de independência de malha</a:t>
            </a:r>
          </a:p>
          <a:p>
            <a:pPr>
              <a:defRPr/>
            </a:pPr>
            <a:r>
              <a:rPr lang="pt-BR" baseline="0"/>
              <a:t>t = 1940 s, X = 0,50 m</a:t>
            </a:r>
            <a:endParaRPr lang="pt-BR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27150783407763E-2"/>
          <c:y val="0.12001396540694005"/>
          <c:w val="0.87003404549451746"/>
          <c:h val="0.70957789157368756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'Indep Malha 1940s _Linhas'!$E$2:$I$2</c:f>
              <c:strCache>
                <c:ptCount val="1"/>
                <c:pt idx="0">
                  <c:v>TDMA with ADI 3x3 - 200s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'Indep Malha 1940s _Linhas'!$B$12:$B$14</c:f>
              <c:numCache>
                <c:formatCode>0.00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</c:numCache>
            </c:numRef>
          </c:xVal>
          <c:yVal>
            <c:numRef>
              <c:f>'Indep Malha 1940s _Linhas'!$D$12:$D$14</c:f>
              <c:numCache>
                <c:formatCode>0.00</c:formatCode>
                <c:ptCount val="3"/>
                <c:pt idx="0">
                  <c:v>947.69839999999999</c:v>
                </c:pt>
                <c:pt idx="1">
                  <c:v>819.62760000000003</c:v>
                </c:pt>
                <c:pt idx="2">
                  <c:v>1040.2012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37-45B5-AA0F-85FB516523AD}"/>
            </c:ext>
          </c:extLst>
        </c:ser>
        <c:ser>
          <c:idx val="4"/>
          <c:order val="1"/>
          <c:tx>
            <c:strRef>
              <c:f>'Indep Malha 1940s _Linhas'!$N$2:$R$2</c:f>
              <c:strCache>
                <c:ptCount val="1"/>
                <c:pt idx="0">
                  <c:v>TDMA with ADI 7x7 - 200s</c:v>
                </c:pt>
              </c:strCache>
            </c:strRef>
          </c:tx>
          <c:spPr>
            <a:ln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'Indep Malha 1940s _Linhas'!$K$12:$K$18</c:f>
              <c:numCache>
                <c:formatCode>0.00</c:formatCode>
                <c:ptCount val="7"/>
                <c:pt idx="0">
                  <c:v>0</c:v>
                </c:pt>
                <c:pt idx="1">
                  <c:v>3.3300000000000003E-2</c:v>
                </c:pt>
                <c:pt idx="2">
                  <c:v>6.6699999999999995E-2</c:v>
                </c:pt>
                <c:pt idx="3">
                  <c:v>0.1</c:v>
                </c:pt>
                <c:pt idx="4">
                  <c:v>0.1333</c:v>
                </c:pt>
                <c:pt idx="5">
                  <c:v>0.16669999999999999</c:v>
                </c:pt>
                <c:pt idx="6">
                  <c:v>0.2</c:v>
                </c:pt>
              </c:numCache>
            </c:numRef>
          </c:xVal>
          <c:yVal>
            <c:numRef>
              <c:f>'Indep Malha 1940s _Linhas'!$M$12:$M$18</c:f>
              <c:numCache>
                <c:formatCode>0.00</c:formatCode>
                <c:ptCount val="7"/>
                <c:pt idx="0">
                  <c:v>976.26220000000001</c:v>
                </c:pt>
                <c:pt idx="1">
                  <c:v>882.67669999999998</c:v>
                </c:pt>
                <c:pt idx="2">
                  <c:v>836.45050000000003</c:v>
                </c:pt>
                <c:pt idx="3">
                  <c:v>831.31600000000003</c:v>
                </c:pt>
                <c:pt idx="4">
                  <c:v>865.75229999999999</c:v>
                </c:pt>
                <c:pt idx="5">
                  <c:v>942.82719999999995</c:v>
                </c:pt>
                <c:pt idx="6">
                  <c:v>1070.6563000000001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B37-45B5-AA0F-85FB516523AD}"/>
            </c:ext>
          </c:extLst>
        </c:ser>
        <c:ser>
          <c:idx val="5"/>
          <c:order val="2"/>
          <c:tx>
            <c:strRef>
              <c:f>'Indep Malha 1940s _Linhas'!$W$2:$AA$2</c:f>
              <c:strCache>
                <c:ptCount val="1"/>
                <c:pt idx="0">
                  <c:v>TDMA with ADI 15x15 - 200s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'Indep Malha 1940s _Linhas'!$T$12:$T$26</c:f>
              <c:numCache>
                <c:formatCode>0.0000</c:formatCode>
                <c:ptCount val="15"/>
                <c:pt idx="0">
                  <c:v>0</c:v>
                </c:pt>
                <c:pt idx="1">
                  <c:v>1.43E-2</c:v>
                </c:pt>
                <c:pt idx="2">
                  <c:v>2.86E-2</c:v>
                </c:pt>
                <c:pt idx="3">
                  <c:v>4.2900000000000001E-2</c:v>
                </c:pt>
                <c:pt idx="4">
                  <c:v>5.7099999999999998E-2</c:v>
                </c:pt>
                <c:pt idx="5">
                  <c:v>7.1400000000000005E-2</c:v>
                </c:pt>
                <c:pt idx="6">
                  <c:v>8.5699999999999998E-2</c:v>
                </c:pt>
                <c:pt idx="7">
                  <c:v>0.1</c:v>
                </c:pt>
                <c:pt idx="8">
                  <c:v>0.1143</c:v>
                </c:pt>
                <c:pt idx="9">
                  <c:v>0.12859999999999999</c:v>
                </c:pt>
                <c:pt idx="10">
                  <c:v>0.1429</c:v>
                </c:pt>
                <c:pt idx="11">
                  <c:v>0.15709999999999999</c:v>
                </c:pt>
                <c:pt idx="12">
                  <c:v>0.1714</c:v>
                </c:pt>
                <c:pt idx="13">
                  <c:v>0.1857</c:v>
                </c:pt>
                <c:pt idx="14">
                  <c:v>0.2</c:v>
                </c:pt>
              </c:numCache>
            </c:numRef>
          </c:xVal>
          <c:yVal>
            <c:numRef>
              <c:f>'Indep Malha 1940s _Linhas'!$V$12:$V$26</c:f>
              <c:numCache>
                <c:formatCode>0.00</c:formatCode>
                <c:ptCount val="15"/>
                <c:pt idx="0">
                  <c:v>980.35530000000006</c:v>
                </c:pt>
                <c:pt idx="1">
                  <c:v>932.9171</c:v>
                </c:pt>
                <c:pt idx="2">
                  <c:v>895.51030000000003</c:v>
                </c:pt>
                <c:pt idx="3">
                  <c:v>867.15689999999995</c:v>
                </c:pt>
                <c:pt idx="4">
                  <c:v>847.12929999999994</c:v>
                </c:pt>
                <c:pt idx="5">
                  <c:v>834.90390000000002</c:v>
                </c:pt>
                <c:pt idx="6">
                  <c:v>830.13559999999995</c:v>
                </c:pt>
                <c:pt idx="7">
                  <c:v>832.6422</c:v>
                </c:pt>
                <c:pt idx="8">
                  <c:v>842.39689999999996</c:v>
                </c:pt>
                <c:pt idx="9">
                  <c:v>859.52480000000003</c:v>
                </c:pt>
                <c:pt idx="10">
                  <c:v>884.30510000000004</c:v>
                </c:pt>
                <c:pt idx="11">
                  <c:v>917.17859999999996</c:v>
                </c:pt>
                <c:pt idx="12">
                  <c:v>958.76649999999995</c:v>
                </c:pt>
                <c:pt idx="13">
                  <c:v>1009.904</c:v>
                </c:pt>
                <c:pt idx="14">
                  <c:v>1071.6923999999999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B37-45B5-AA0F-85FB516523AD}"/>
            </c:ext>
          </c:extLst>
        </c:ser>
        <c:ser>
          <c:idx val="2"/>
          <c:order val="3"/>
          <c:tx>
            <c:strRef>
              <c:f>'Indep Malha 1940s _Linhas'!$AG$2:$AK$2</c:f>
              <c:strCache>
                <c:ptCount val="1"/>
                <c:pt idx="0">
                  <c:v>TDMA with ADI 31x31 - 200s</c:v>
                </c:pt>
              </c:strCache>
            </c:strRef>
          </c:tx>
          <c:spPr>
            <a:ln w="12700">
              <a:solidFill>
                <a:schemeClr val="accent6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'Indep Malha 1940s _Linhas'!$AD$12:$AD$42</c:f>
              <c:numCache>
                <c:formatCode>0.0000</c:formatCode>
                <c:ptCount val="31"/>
                <c:pt idx="0">
                  <c:v>0</c:v>
                </c:pt>
                <c:pt idx="1">
                  <c:v>6.7000000000000002E-3</c:v>
                </c:pt>
                <c:pt idx="2">
                  <c:v>1.3299999999999999E-2</c:v>
                </c:pt>
                <c:pt idx="3">
                  <c:v>0.02</c:v>
                </c:pt>
                <c:pt idx="4">
                  <c:v>2.6700000000000002E-2</c:v>
                </c:pt>
                <c:pt idx="5">
                  <c:v>3.3300000000000003E-2</c:v>
                </c:pt>
                <c:pt idx="6">
                  <c:v>0.04</c:v>
                </c:pt>
                <c:pt idx="7">
                  <c:v>4.6699999999999998E-2</c:v>
                </c:pt>
                <c:pt idx="8">
                  <c:v>5.33E-2</c:v>
                </c:pt>
                <c:pt idx="9">
                  <c:v>0.06</c:v>
                </c:pt>
                <c:pt idx="10">
                  <c:v>6.6699999999999995E-2</c:v>
                </c:pt>
                <c:pt idx="11">
                  <c:v>7.3300000000000004E-2</c:v>
                </c:pt>
                <c:pt idx="12">
                  <c:v>0.08</c:v>
                </c:pt>
                <c:pt idx="13">
                  <c:v>8.6699999999999999E-2</c:v>
                </c:pt>
                <c:pt idx="14">
                  <c:v>9.3299999999999994E-2</c:v>
                </c:pt>
                <c:pt idx="15">
                  <c:v>0.1</c:v>
                </c:pt>
                <c:pt idx="16">
                  <c:v>0.1067</c:v>
                </c:pt>
                <c:pt idx="17">
                  <c:v>0.1133</c:v>
                </c:pt>
                <c:pt idx="18">
                  <c:v>0.12</c:v>
                </c:pt>
                <c:pt idx="19">
                  <c:v>0.12670000000000001</c:v>
                </c:pt>
                <c:pt idx="20">
                  <c:v>0.1333</c:v>
                </c:pt>
                <c:pt idx="21">
                  <c:v>0.14000000000000001</c:v>
                </c:pt>
                <c:pt idx="22">
                  <c:v>0.1467</c:v>
                </c:pt>
                <c:pt idx="23">
                  <c:v>0.15329999999999999</c:v>
                </c:pt>
                <c:pt idx="24">
                  <c:v>0.16</c:v>
                </c:pt>
                <c:pt idx="25">
                  <c:v>0.16669999999999999</c:v>
                </c:pt>
                <c:pt idx="26">
                  <c:v>0.17330000000000001</c:v>
                </c:pt>
                <c:pt idx="27">
                  <c:v>0.18</c:v>
                </c:pt>
                <c:pt idx="28">
                  <c:v>0.1867</c:v>
                </c:pt>
                <c:pt idx="29">
                  <c:v>0.1933</c:v>
                </c:pt>
                <c:pt idx="30">
                  <c:v>0.2</c:v>
                </c:pt>
              </c:numCache>
            </c:numRef>
          </c:xVal>
          <c:yVal>
            <c:numRef>
              <c:f>'Indep Malha 1940s _Linhas'!$AF$12:$AF$42</c:f>
              <c:numCache>
                <c:formatCode>0.00</c:formatCode>
                <c:ptCount val="31"/>
                <c:pt idx="0">
                  <c:v>981.12639999999999</c:v>
                </c:pt>
                <c:pt idx="1">
                  <c:v>957.56849999999997</c:v>
                </c:pt>
                <c:pt idx="2">
                  <c:v>936.35149999999999</c:v>
                </c:pt>
                <c:pt idx="3">
                  <c:v>917.34630000000004</c:v>
                </c:pt>
                <c:pt idx="4">
                  <c:v>900.44050000000004</c:v>
                </c:pt>
                <c:pt idx="5">
                  <c:v>885.53650000000005</c:v>
                </c:pt>
                <c:pt idx="6">
                  <c:v>872.54939999999999</c:v>
                </c:pt>
                <c:pt idx="7">
                  <c:v>861.40589999999997</c:v>
                </c:pt>
                <c:pt idx="8">
                  <c:v>852.04290000000003</c:v>
                </c:pt>
                <c:pt idx="9">
                  <c:v>844.40660000000003</c:v>
                </c:pt>
                <c:pt idx="10">
                  <c:v>838.45249999999999</c:v>
                </c:pt>
                <c:pt idx="11">
                  <c:v>834.14400000000001</c:v>
                </c:pt>
                <c:pt idx="12">
                  <c:v>831.45270000000005</c:v>
                </c:pt>
                <c:pt idx="13">
                  <c:v>830.35789999999997</c:v>
                </c:pt>
                <c:pt idx="14">
                  <c:v>830.84630000000004</c:v>
                </c:pt>
                <c:pt idx="15">
                  <c:v>832.91200000000003</c:v>
                </c:pt>
                <c:pt idx="16">
                  <c:v>836.55629999999996</c:v>
                </c:pt>
                <c:pt idx="17">
                  <c:v>841.78779999999995</c:v>
                </c:pt>
                <c:pt idx="18">
                  <c:v>848.6223</c:v>
                </c:pt>
                <c:pt idx="19">
                  <c:v>857.08270000000005</c:v>
                </c:pt>
                <c:pt idx="20">
                  <c:v>867.19960000000003</c:v>
                </c:pt>
                <c:pt idx="21">
                  <c:v>879.01110000000006</c:v>
                </c:pt>
                <c:pt idx="22">
                  <c:v>892.56330000000003</c:v>
                </c:pt>
                <c:pt idx="23">
                  <c:v>907.91070000000002</c:v>
                </c:pt>
                <c:pt idx="24">
                  <c:v>925.11699999999996</c:v>
                </c:pt>
                <c:pt idx="25">
                  <c:v>944.25559999999996</c:v>
                </c:pt>
                <c:pt idx="26">
                  <c:v>965.41060000000004</c:v>
                </c:pt>
                <c:pt idx="27">
                  <c:v>988.67830000000004</c:v>
                </c:pt>
                <c:pt idx="28">
                  <c:v>1014.168</c:v>
                </c:pt>
                <c:pt idx="29">
                  <c:v>1042.0030999999999</c:v>
                </c:pt>
                <c:pt idx="30">
                  <c:v>1071.9101000000001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37-45B5-AA0F-85FB51652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32096"/>
        <c:axId val="15613363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4"/>
                <c:tx>
                  <c:strRef>
                    <c:extLst>
                      <c:ext uri="{02D57815-91ED-43cb-92C2-25804820EDAC}">
                        <c15:formulaRef>
                          <c15:sqref>'Indep Malha 1940s _Linhas'!$AP$2:$AT$2</c15:sqref>
                        </c15:formulaRef>
                      </c:ext>
                    </c:extLst>
                    <c:strCache>
                      <c:ptCount val="1"/>
                      <c:pt idx="0">
                        <c:v>TDMA with ADI 61x61 - 200s</c:v>
                      </c:pt>
                    </c:strCache>
                  </c:strRef>
                </c:tx>
                <c:spPr>
                  <a:ln>
                    <a:solidFill>
                      <a:schemeClr val="accent6">
                        <a:lumMod val="75000"/>
                      </a:schemeClr>
                    </a:solidFill>
                    <a:prstDash val="dashDot"/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'Indep Malha 1940s _Linhas'!$AM$12:$AM$72</c15:sqref>
                        </c15:formulaRef>
                      </c:ext>
                    </c:extLst>
                    <c:numCache>
                      <c:formatCode>0.0000</c:formatCode>
                      <c:ptCount val="61"/>
                      <c:pt idx="0">
                        <c:v>0</c:v>
                      </c:pt>
                      <c:pt idx="1">
                        <c:v>3.3E-3</c:v>
                      </c:pt>
                      <c:pt idx="2">
                        <c:v>6.7000000000000002E-3</c:v>
                      </c:pt>
                      <c:pt idx="3">
                        <c:v>0.01</c:v>
                      </c:pt>
                      <c:pt idx="4">
                        <c:v>1.3299999999999999E-2</c:v>
                      </c:pt>
                      <c:pt idx="5">
                        <c:v>1.67E-2</c:v>
                      </c:pt>
                      <c:pt idx="6">
                        <c:v>0.02</c:v>
                      </c:pt>
                      <c:pt idx="7">
                        <c:v>2.3300000000000001E-2</c:v>
                      </c:pt>
                      <c:pt idx="8">
                        <c:v>2.6700000000000002E-2</c:v>
                      </c:pt>
                      <c:pt idx="9">
                        <c:v>0.03</c:v>
                      </c:pt>
                      <c:pt idx="10">
                        <c:v>3.3300000000000003E-2</c:v>
                      </c:pt>
                      <c:pt idx="11">
                        <c:v>3.6700000000000003E-2</c:v>
                      </c:pt>
                      <c:pt idx="12">
                        <c:v>0.04</c:v>
                      </c:pt>
                      <c:pt idx="13">
                        <c:v>4.3299999999999998E-2</c:v>
                      </c:pt>
                      <c:pt idx="14">
                        <c:v>4.6699999999999998E-2</c:v>
                      </c:pt>
                      <c:pt idx="15">
                        <c:v>0.05</c:v>
                      </c:pt>
                      <c:pt idx="16">
                        <c:v>5.33E-2</c:v>
                      </c:pt>
                      <c:pt idx="17">
                        <c:v>5.67E-2</c:v>
                      </c:pt>
                      <c:pt idx="18">
                        <c:v>0.06</c:v>
                      </c:pt>
                      <c:pt idx="19">
                        <c:v>6.3299999999999995E-2</c:v>
                      </c:pt>
                      <c:pt idx="20">
                        <c:v>6.6699999999999995E-2</c:v>
                      </c:pt>
                      <c:pt idx="21">
                        <c:v>7.0000000000000007E-2</c:v>
                      </c:pt>
                      <c:pt idx="22">
                        <c:v>7.3300000000000004E-2</c:v>
                      </c:pt>
                      <c:pt idx="23">
                        <c:v>7.6700000000000004E-2</c:v>
                      </c:pt>
                      <c:pt idx="24">
                        <c:v>0.08</c:v>
                      </c:pt>
                      <c:pt idx="25">
                        <c:v>8.3299999999999999E-2</c:v>
                      </c:pt>
                      <c:pt idx="26">
                        <c:v>8.6699999999999999E-2</c:v>
                      </c:pt>
                      <c:pt idx="27">
                        <c:v>0.09</c:v>
                      </c:pt>
                      <c:pt idx="28">
                        <c:v>9.3299999999999994E-2</c:v>
                      </c:pt>
                      <c:pt idx="29">
                        <c:v>9.6699999999999994E-2</c:v>
                      </c:pt>
                      <c:pt idx="30">
                        <c:v>0.1</c:v>
                      </c:pt>
                      <c:pt idx="31">
                        <c:v>0.1033</c:v>
                      </c:pt>
                      <c:pt idx="32">
                        <c:v>0.1067</c:v>
                      </c:pt>
                      <c:pt idx="33">
                        <c:v>0.11</c:v>
                      </c:pt>
                      <c:pt idx="34">
                        <c:v>0.1133</c:v>
                      </c:pt>
                      <c:pt idx="35">
                        <c:v>0.1167</c:v>
                      </c:pt>
                      <c:pt idx="36">
                        <c:v>0.12</c:v>
                      </c:pt>
                      <c:pt idx="37">
                        <c:v>0.12330000000000001</c:v>
                      </c:pt>
                      <c:pt idx="38">
                        <c:v>0.12670000000000001</c:v>
                      </c:pt>
                      <c:pt idx="39">
                        <c:v>0.13</c:v>
                      </c:pt>
                      <c:pt idx="40">
                        <c:v>0.1333</c:v>
                      </c:pt>
                      <c:pt idx="41">
                        <c:v>0.13669999999999999</c:v>
                      </c:pt>
                      <c:pt idx="42">
                        <c:v>0.14000000000000001</c:v>
                      </c:pt>
                      <c:pt idx="43">
                        <c:v>0.14330000000000001</c:v>
                      </c:pt>
                      <c:pt idx="44">
                        <c:v>0.1467</c:v>
                      </c:pt>
                      <c:pt idx="45">
                        <c:v>0.15</c:v>
                      </c:pt>
                      <c:pt idx="46">
                        <c:v>0.15329999999999999</c:v>
                      </c:pt>
                      <c:pt idx="47">
                        <c:v>0.15670000000000001</c:v>
                      </c:pt>
                      <c:pt idx="48">
                        <c:v>0.16</c:v>
                      </c:pt>
                      <c:pt idx="49">
                        <c:v>0.1633</c:v>
                      </c:pt>
                      <c:pt idx="50">
                        <c:v>0.16669999999999999</c:v>
                      </c:pt>
                      <c:pt idx="51">
                        <c:v>0.17</c:v>
                      </c:pt>
                      <c:pt idx="52">
                        <c:v>0.17330000000000001</c:v>
                      </c:pt>
                      <c:pt idx="53">
                        <c:v>0.1767</c:v>
                      </c:pt>
                      <c:pt idx="54">
                        <c:v>0.18</c:v>
                      </c:pt>
                      <c:pt idx="55">
                        <c:v>0.18329999999999999</c:v>
                      </c:pt>
                      <c:pt idx="56">
                        <c:v>0.1867</c:v>
                      </c:pt>
                      <c:pt idx="57">
                        <c:v>0.19</c:v>
                      </c:pt>
                      <c:pt idx="58">
                        <c:v>0.1933</c:v>
                      </c:pt>
                      <c:pt idx="59">
                        <c:v>0.19670000000000001</c:v>
                      </c:pt>
                      <c:pt idx="60">
                        <c:v>0.2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'Indep Malha 1940s _Linhas'!$AO$12:$AO$72</c15:sqref>
                        </c15:formulaRef>
                      </c:ext>
                    </c:extLst>
                    <c:numCache>
                      <c:formatCode>0.00</c:formatCode>
                      <c:ptCount val="61"/>
                      <c:pt idx="0">
                        <c:v>981.06010000000003</c:v>
                      </c:pt>
                      <c:pt idx="1">
                        <c:v>968.96630000000005</c:v>
                      </c:pt>
                      <c:pt idx="2">
                        <c:v>957.47670000000005</c:v>
                      </c:pt>
                      <c:pt idx="3">
                        <c:v>946.57320000000004</c:v>
                      </c:pt>
                      <c:pt idx="4">
                        <c:v>936.23900000000003</c:v>
                      </c:pt>
                      <c:pt idx="5">
                        <c:v>926.45830000000001</c:v>
                      </c:pt>
                      <c:pt idx="6">
                        <c:v>917.21659999999997</c:v>
                      </c:pt>
                      <c:pt idx="7">
                        <c:v>908.50030000000004</c:v>
                      </c:pt>
                      <c:pt idx="8">
                        <c:v>900.29660000000001</c:v>
                      </c:pt>
                      <c:pt idx="9">
                        <c:v>892.59379999999999</c:v>
                      </c:pt>
                      <c:pt idx="10">
                        <c:v>885.38070000000005</c:v>
                      </c:pt>
                      <c:pt idx="11">
                        <c:v>878.64710000000002</c:v>
                      </c:pt>
                      <c:pt idx="12">
                        <c:v>872.3836</c:v>
                      </c:pt>
                      <c:pt idx="13">
                        <c:v>866.58109999999999</c:v>
                      </c:pt>
                      <c:pt idx="14">
                        <c:v>861.23159999999996</c:v>
                      </c:pt>
                      <c:pt idx="15">
                        <c:v>856.32740000000001</c:v>
                      </c:pt>
                      <c:pt idx="16">
                        <c:v>851.86149999999998</c:v>
                      </c:pt>
                      <c:pt idx="17">
                        <c:v>847.82749999999999</c:v>
                      </c:pt>
                      <c:pt idx="18">
                        <c:v>844.21950000000004</c:v>
                      </c:pt>
                      <c:pt idx="19">
                        <c:v>841.03219999999999</c:v>
                      </c:pt>
                      <c:pt idx="20">
                        <c:v>838.26080000000002</c:v>
                      </c:pt>
                      <c:pt idx="21">
                        <c:v>835.90089999999998</c:v>
                      </c:pt>
                      <c:pt idx="22">
                        <c:v>833.94870000000003</c:v>
                      </c:pt>
                      <c:pt idx="23">
                        <c:v>832.40099999999995</c:v>
                      </c:pt>
                      <c:pt idx="24">
                        <c:v>831.25480000000005</c:v>
                      </c:pt>
                      <c:pt idx="25">
                        <c:v>830.50789999999995</c:v>
                      </c:pt>
                      <c:pt idx="26">
                        <c:v>830.15830000000005</c:v>
                      </c:pt>
                      <c:pt idx="27">
                        <c:v>830.20450000000005</c:v>
                      </c:pt>
                      <c:pt idx="28">
                        <c:v>830.64570000000003</c:v>
                      </c:pt>
                      <c:pt idx="29">
                        <c:v>831.48130000000003</c:v>
                      </c:pt>
                      <c:pt idx="30">
                        <c:v>832.71119999999996</c:v>
                      </c:pt>
                      <c:pt idx="31">
                        <c:v>834.33569999999997</c:v>
                      </c:pt>
                      <c:pt idx="32">
                        <c:v>836.35580000000004</c:v>
                      </c:pt>
                      <c:pt idx="33">
                        <c:v>838.77269999999999</c:v>
                      </c:pt>
                      <c:pt idx="34">
                        <c:v>841.58799999999997</c:v>
                      </c:pt>
                      <c:pt idx="35">
                        <c:v>844.80409999999995</c:v>
                      </c:pt>
                      <c:pt idx="36">
                        <c:v>848.42349999999999</c:v>
                      </c:pt>
                      <c:pt idx="37">
                        <c:v>852.44929999999999</c:v>
                      </c:pt>
                      <c:pt idx="38">
                        <c:v>856.88499999999999</c:v>
                      </c:pt>
                      <c:pt idx="39">
                        <c:v>861.7346</c:v>
                      </c:pt>
                      <c:pt idx="40">
                        <c:v>867.0027</c:v>
                      </c:pt>
                      <c:pt idx="41">
                        <c:v>872.6943</c:v>
                      </c:pt>
                      <c:pt idx="42">
                        <c:v>878.81460000000004</c:v>
                      </c:pt>
                      <c:pt idx="43">
                        <c:v>885.36990000000003</c:v>
                      </c:pt>
                      <c:pt idx="44">
                        <c:v>892.36649999999997</c:v>
                      </c:pt>
                      <c:pt idx="45">
                        <c:v>899.81140000000005</c:v>
                      </c:pt>
                      <c:pt idx="46">
                        <c:v>907.71230000000003</c:v>
                      </c:pt>
                      <c:pt idx="47">
                        <c:v>916.07740000000001</c:v>
                      </c:pt>
                      <c:pt idx="48">
                        <c:v>924.9153</c:v>
                      </c:pt>
                      <c:pt idx="49">
                        <c:v>934.2355</c:v>
                      </c:pt>
                      <c:pt idx="50">
                        <c:v>944.04809999999998</c:v>
                      </c:pt>
                      <c:pt idx="51">
                        <c:v>954.36369999999999</c:v>
                      </c:pt>
                      <c:pt idx="52">
                        <c:v>965.19399999999996</c:v>
                      </c:pt>
                      <c:pt idx="53">
                        <c:v>976.55100000000004</c:v>
                      </c:pt>
                      <c:pt idx="54">
                        <c:v>988.44780000000003</c:v>
                      </c:pt>
                      <c:pt idx="55">
                        <c:v>1000.8982</c:v>
                      </c:pt>
                      <c:pt idx="56">
                        <c:v>1013.9168</c:v>
                      </c:pt>
                      <c:pt idx="57">
                        <c:v>1027.5191</c:v>
                      </c:pt>
                      <c:pt idx="58">
                        <c:v>1041.7216000000001</c:v>
                      </c:pt>
                      <c:pt idx="59">
                        <c:v>1056.4399000000001</c:v>
                      </c:pt>
                      <c:pt idx="60">
                        <c:v>1071.6229000000001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0B37-45B5-AA0F-85FB516523AD}"/>
                  </c:ext>
                </c:extLst>
              </c15:ser>
            </c15:filteredScatterSeries>
            <c15:filteredScatterSeries>
              <c15:ser>
                <c:idx val="1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'Indep Malha 1940s _Linhas'!$AY$2:$BC$2</c15:sqref>
                        </c15:formulaRef>
                      </c:ext>
                    </c:extLst>
                    <c:strCache>
                      <c:ptCount val="1"/>
                      <c:pt idx="0">
                        <c:v>TDMA with ADI 121x121 - 200s</c:v>
                      </c:pt>
                    </c:strCache>
                  </c:strRef>
                </c:tx>
                <c:spPr>
                  <a:ln>
                    <a:solidFill>
                      <a:srgbClr val="00B0F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'Indep Malha 1940s _Linhas'!$AV$12:$AV$132</c15:sqref>
                        </c15:formulaRef>
                      </c:ext>
                    </c:extLst>
                    <c:numCache>
                      <c:formatCode>0.0000</c:formatCode>
                      <c:ptCount val="121"/>
                      <c:pt idx="0">
                        <c:v>0</c:v>
                      </c:pt>
                      <c:pt idx="1">
                        <c:v>1.6999999999999999E-3</c:v>
                      </c:pt>
                      <c:pt idx="2">
                        <c:v>3.3E-3</c:v>
                      </c:pt>
                      <c:pt idx="3">
                        <c:v>5.0000000000000001E-3</c:v>
                      </c:pt>
                      <c:pt idx="4">
                        <c:v>6.7000000000000002E-3</c:v>
                      </c:pt>
                      <c:pt idx="5">
                        <c:v>8.3000000000000001E-3</c:v>
                      </c:pt>
                      <c:pt idx="6">
                        <c:v>0.01</c:v>
                      </c:pt>
                      <c:pt idx="7">
                        <c:v>1.17E-2</c:v>
                      </c:pt>
                      <c:pt idx="8">
                        <c:v>1.3299999999999999E-2</c:v>
                      </c:pt>
                      <c:pt idx="9">
                        <c:v>1.4999999999999999E-2</c:v>
                      </c:pt>
                      <c:pt idx="10">
                        <c:v>1.67E-2</c:v>
                      </c:pt>
                      <c:pt idx="11">
                        <c:v>1.83E-2</c:v>
                      </c:pt>
                      <c:pt idx="12">
                        <c:v>0.02</c:v>
                      </c:pt>
                      <c:pt idx="13">
                        <c:v>2.1700000000000001E-2</c:v>
                      </c:pt>
                      <c:pt idx="14">
                        <c:v>2.3300000000000001E-2</c:v>
                      </c:pt>
                      <c:pt idx="15">
                        <c:v>2.5000000000000001E-2</c:v>
                      </c:pt>
                      <c:pt idx="16">
                        <c:v>2.6700000000000002E-2</c:v>
                      </c:pt>
                      <c:pt idx="17">
                        <c:v>2.8299999999999999E-2</c:v>
                      </c:pt>
                      <c:pt idx="18">
                        <c:v>0.03</c:v>
                      </c:pt>
                      <c:pt idx="19">
                        <c:v>3.1699999999999999E-2</c:v>
                      </c:pt>
                      <c:pt idx="20">
                        <c:v>3.3300000000000003E-2</c:v>
                      </c:pt>
                      <c:pt idx="21">
                        <c:v>3.5000000000000003E-2</c:v>
                      </c:pt>
                      <c:pt idx="22">
                        <c:v>3.6700000000000003E-2</c:v>
                      </c:pt>
                      <c:pt idx="23">
                        <c:v>3.8300000000000001E-2</c:v>
                      </c:pt>
                      <c:pt idx="24">
                        <c:v>0.04</c:v>
                      </c:pt>
                      <c:pt idx="25">
                        <c:v>4.1700000000000001E-2</c:v>
                      </c:pt>
                      <c:pt idx="26">
                        <c:v>4.3299999999999998E-2</c:v>
                      </c:pt>
                      <c:pt idx="27">
                        <c:v>4.4999999999999998E-2</c:v>
                      </c:pt>
                      <c:pt idx="28">
                        <c:v>4.6699999999999998E-2</c:v>
                      </c:pt>
                      <c:pt idx="29">
                        <c:v>4.8300000000000003E-2</c:v>
                      </c:pt>
                      <c:pt idx="30">
                        <c:v>0.05</c:v>
                      </c:pt>
                      <c:pt idx="31">
                        <c:v>5.1700000000000003E-2</c:v>
                      </c:pt>
                      <c:pt idx="32">
                        <c:v>5.33E-2</c:v>
                      </c:pt>
                      <c:pt idx="33">
                        <c:v>5.5E-2</c:v>
                      </c:pt>
                      <c:pt idx="34">
                        <c:v>5.67E-2</c:v>
                      </c:pt>
                      <c:pt idx="35">
                        <c:v>5.8299999999999998E-2</c:v>
                      </c:pt>
                      <c:pt idx="36">
                        <c:v>0.06</c:v>
                      </c:pt>
                      <c:pt idx="37">
                        <c:v>6.1699999999999998E-2</c:v>
                      </c:pt>
                      <c:pt idx="38">
                        <c:v>6.3299999999999995E-2</c:v>
                      </c:pt>
                      <c:pt idx="39">
                        <c:v>6.5000000000000002E-2</c:v>
                      </c:pt>
                      <c:pt idx="40">
                        <c:v>6.6699999999999995E-2</c:v>
                      </c:pt>
                      <c:pt idx="41">
                        <c:v>6.83E-2</c:v>
                      </c:pt>
                      <c:pt idx="42">
                        <c:v>7.0000000000000007E-2</c:v>
                      </c:pt>
                      <c:pt idx="43">
                        <c:v>7.17E-2</c:v>
                      </c:pt>
                      <c:pt idx="44">
                        <c:v>7.3300000000000004E-2</c:v>
                      </c:pt>
                      <c:pt idx="45">
                        <c:v>7.4999999999999997E-2</c:v>
                      </c:pt>
                      <c:pt idx="46">
                        <c:v>7.6700000000000004E-2</c:v>
                      </c:pt>
                      <c:pt idx="47">
                        <c:v>7.8299999999999995E-2</c:v>
                      </c:pt>
                      <c:pt idx="48">
                        <c:v>0.08</c:v>
                      </c:pt>
                      <c:pt idx="49">
                        <c:v>8.1699999999999995E-2</c:v>
                      </c:pt>
                      <c:pt idx="50">
                        <c:v>8.3299999999999999E-2</c:v>
                      </c:pt>
                      <c:pt idx="51">
                        <c:v>8.5000000000000006E-2</c:v>
                      </c:pt>
                      <c:pt idx="52">
                        <c:v>8.6699999999999999E-2</c:v>
                      </c:pt>
                      <c:pt idx="53">
                        <c:v>8.8300000000000003E-2</c:v>
                      </c:pt>
                      <c:pt idx="54">
                        <c:v>0.09</c:v>
                      </c:pt>
                      <c:pt idx="55">
                        <c:v>9.1700000000000004E-2</c:v>
                      </c:pt>
                      <c:pt idx="56">
                        <c:v>9.3299999999999994E-2</c:v>
                      </c:pt>
                      <c:pt idx="57">
                        <c:v>9.5000000000000001E-2</c:v>
                      </c:pt>
                      <c:pt idx="58">
                        <c:v>9.6699999999999994E-2</c:v>
                      </c:pt>
                      <c:pt idx="59">
                        <c:v>9.8299999999999998E-2</c:v>
                      </c:pt>
                      <c:pt idx="60">
                        <c:v>0.1</c:v>
                      </c:pt>
                      <c:pt idx="61">
                        <c:v>0.1017</c:v>
                      </c:pt>
                      <c:pt idx="62">
                        <c:v>0.1033</c:v>
                      </c:pt>
                      <c:pt idx="63">
                        <c:v>0.105</c:v>
                      </c:pt>
                      <c:pt idx="64">
                        <c:v>0.1067</c:v>
                      </c:pt>
                      <c:pt idx="65">
                        <c:v>0.10829999999999999</c:v>
                      </c:pt>
                      <c:pt idx="66">
                        <c:v>0.11</c:v>
                      </c:pt>
                      <c:pt idx="67">
                        <c:v>0.11169999999999999</c:v>
                      </c:pt>
                      <c:pt idx="68">
                        <c:v>0.1133</c:v>
                      </c:pt>
                      <c:pt idx="69">
                        <c:v>0.115</c:v>
                      </c:pt>
                      <c:pt idx="70">
                        <c:v>0.1167</c:v>
                      </c:pt>
                      <c:pt idx="71">
                        <c:v>0.1183</c:v>
                      </c:pt>
                      <c:pt idx="72">
                        <c:v>0.12</c:v>
                      </c:pt>
                      <c:pt idx="73">
                        <c:v>0.1217</c:v>
                      </c:pt>
                      <c:pt idx="74">
                        <c:v>0.12330000000000001</c:v>
                      </c:pt>
                      <c:pt idx="75">
                        <c:v>0.125</c:v>
                      </c:pt>
                      <c:pt idx="76">
                        <c:v>0.12670000000000001</c:v>
                      </c:pt>
                      <c:pt idx="77">
                        <c:v>0.1283</c:v>
                      </c:pt>
                      <c:pt idx="78">
                        <c:v>0.13</c:v>
                      </c:pt>
                      <c:pt idx="79">
                        <c:v>0.13170000000000001</c:v>
                      </c:pt>
                      <c:pt idx="80">
                        <c:v>0.1333</c:v>
                      </c:pt>
                      <c:pt idx="81">
                        <c:v>0.13500000000000001</c:v>
                      </c:pt>
                      <c:pt idx="82">
                        <c:v>0.13669999999999999</c:v>
                      </c:pt>
                      <c:pt idx="83">
                        <c:v>0.13830000000000001</c:v>
                      </c:pt>
                      <c:pt idx="84">
                        <c:v>0.14000000000000001</c:v>
                      </c:pt>
                      <c:pt idx="85">
                        <c:v>0.14169999999999999</c:v>
                      </c:pt>
                      <c:pt idx="86">
                        <c:v>0.14330000000000001</c:v>
                      </c:pt>
                      <c:pt idx="87">
                        <c:v>0.14499999999999999</c:v>
                      </c:pt>
                      <c:pt idx="88">
                        <c:v>0.1467</c:v>
                      </c:pt>
                      <c:pt idx="89">
                        <c:v>0.14829999999999999</c:v>
                      </c:pt>
                      <c:pt idx="90">
                        <c:v>0.15</c:v>
                      </c:pt>
                      <c:pt idx="91">
                        <c:v>0.1517</c:v>
                      </c:pt>
                      <c:pt idx="92">
                        <c:v>0.15329999999999999</c:v>
                      </c:pt>
                      <c:pt idx="93">
                        <c:v>0.155</c:v>
                      </c:pt>
                      <c:pt idx="94">
                        <c:v>0.15670000000000001</c:v>
                      </c:pt>
                      <c:pt idx="95">
                        <c:v>0.1583</c:v>
                      </c:pt>
                      <c:pt idx="96">
                        <c:v>0.16</c:v>
                      </c:pt>
                      <c:pt idx="97">
                        <c:v>0.16170000000000001</c:v>
                      </c:pt>
                      <c:pt idx="98">
                        <c:v>0.1633</c:v>
                      </c:pt>
                      <c:pt idx="99">
                        <c:v>0.16500000000000001</c:v>
                      </c:pt>
                      <c:pt idx="100">
                        <c:v>0.16669999999999999</c:v>
                      </c:pt>
                      <c:pt idx="101">
                        <c:v>0.16830000000000001</c:v>
                      </c:pt>
                      <c:pt idx="102">
                        <c:v>0.17</c:v>
                      </c:pt>
                      <c:pt idx="103">
                        <c:v>0.17169999999999999</c:v>
                      </c:pt>
                      <c:pt idx="104">
                        <c:v>0.17330000000000001</c:v>
                      </c:pt>
                      <c:pt idx="105">
                        <c:v>0.17499999999999999</c:v>
                      </c:pt>
                      <c:pt idx="106">
                        <c:v>0.1767</c:v>
                      </c:pt>
                      <c:pt idx="107">
                        <c:v>0.17829999999999999</c:v>
                      </c:pt>
                      <c:pt idx="108">
                        <c:v>0.18</c:v>
                      </c:pt>
                      <c:pt idx="109">
                        <c:v>0.1817</c:v>
                      </c:pt>
                      <c:pt idx="110">
                        <c:v>0.18329999999999999</c:v>
                      </c:pt>
                      <c:pt idx="111">
                        <c:v>0.185</c:v>
                      </c:pt>
                      <c:pt idx="112">
                        <c:v>0.1867</c:v>
                      </c:pt>
                      <c:pt idx="113">
                        <c:v>0.1883</c:v>
                      </c:pt>
                      <c:pt idx="114">
                        <c:v>0.19</c:v>
                      </c:pt>
                      <c:pt idx="115">
                        <c:v>0.19170000000000001</c:v>
                      </c:pt>
                      <c:pt idx="116">
                        <c:v>0.1933</c:v>
                      </c:pt>
                      <c:pt idx="117">
                        <c:v>0.19500000000000001</c:v>
                      </c:pt>
                      <c:pt idx="118">
                        <c:v>0.19670000000000001</c:v>
                      </c:pt>
                      <c:pt idx="119">
                        <c:v>0.1983</c:v>
                      </c:pt>
                      <c:pt idx="120">
                        <c:v>0.2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'Indep Malha 1940s _Linhas'!$AX$12:$AX$132</c15:sqref>
                        </c15:formulaRef>
                      </c:ext>
                    </c:extLst>
                    <c:numCache>
                      <c:formatCode>0.00</c:formatCode>
                      <c:ptCount val="121"/>
                      <c:pt idx="0">
                        <c:v>979.13549999999998</c:v>
                      </c:pt>
                      <c:pt idx="1">
                        <c:v>973.00040000000001</c:v>
                      </c:pt>
                      <c:pt idx="2">
                        <c:v>967.01900000000001</c:v>
                      </c:pt>
                      <c:pt idx="3">
                        <c:v>961.18880000000001</c:v>
                      </c:pt>
                      <c:pt idx="4">
                        <c:v>955.50760000000002</c:v>
                      </c:pt>
                      <c:pt idx="5">
                        <c:v>949.97310000000004</c:v>
                      </c:pt>
                      <c:pt idx="6">
                        <c:v>944.58320000000003</c:v>
                      </c:pt>
                      <c:pt idx="7">
                        <c:v>939.33579999999995</c:v>
                      </c:pt>
                      <c:pt idx="8">
                        <c:v>934.22900000000004</c:v>
                      </c:pt>
                      <c:pt idx="9">
                        <c:v>929.26080000000002</c:v>
                      </c:pt>
                      <c:pt idx="10">
                        <c:v>924.42939999999999</c:v>
                      </c:pt>
                      <c:pt idx="11">
                        <c:v>919.73299999999995</c:v>
                      </c:pt>
                      <c:pt idx="12">
                        <c:v>915.16980000000001</c:v>
                      </c:pt>
                      <c:pt idx="13">
                        <c:v>910.73820000000001</c:v>
                      </c:pt>
                      <c:pt idx="14">
                        <c:v>906.43669999999997</c:v>
                      </c:pt>
                      <c:pt idx="15">
                        <c:v>902.26350000000002</c:v>
                      </c:pt>
                      <c:pt idx="16">
                        <c:v>898.21730000000002</c:v>
                      </c:pt>
                      <c:pt idx="17">
                        <c:v>894.29650000000004</c:v>
                      </c:pt>
                      <c:pt idx="18">
                        <c:v>890.49980000000005</c:v>
                      </c:pt>
                      <c:pt idx="19">
                        <c:v>886.82590000000005</c:v>
                      </c:pt>
                      <c:pt idx="20">
                        <c:v>883.27340000000004</c:v>
                      </c:pt>
                      <c:pt idx="21">
                        <c:v>879.84109999999998</c:v>
                      </c:pt>
                      <c:pt idx="22">
                        <c:v>876.52779999999996</c:v>
                      </c:pt>
                      <c:pt idx="23">
                        <c:v>873.33230000000003</c:v>
                      </c:pt>
                      <c:pt idx="24">
                        <c:v>870.25340000000006</c:v>
                      </c:pt>
                      <c:pt idx="25">
                        <c:v>867.29010000000005</c:v>
                      </c:pt>
                      <c:pt idx="26">
                        <c:v>864.44140000000004</c:v>
                      </c:pt>
                      <c:pt idx="27">
                        <c:v>861.70630000000006</c:v>
                      </c:pt>
                      <c:pt idx="28">
                        <c:v>859.08370000000002</c:v>
                      </c:pt>
                      <c:pt idx="29">
                        <c:v>856.57280000000003</c:v>
                      </c:pt>
                      <c:pt idx="30">
                        <c:v>854.17269999999996</c:v>
                      </c:pt>
                      <c:pt idx="31">
                        <c:v>851.88239999999996</c:v>
                      </c:pt>
                      <c:pt idx="32">
                        <c:v>849.70129999999995</c:v>
                      </c:pt>
                      <c:pt idx="33">
                        <c:v>847.62850000000003</c:v>
                      </c:pt>
                      <c:pt idx="34">
                        <c:v>845.66319999999996</c:v>
                      </c:pt>
                      <c:pt idx="35">
                        <c:v>843.8048</c:v>
                      </c:pt>
                      <c:pt idx="36">
                        <c:v>842.05259999999998</c:v>
                      </c:pt>
                      <c:pt idx="37">
                        <c:v>840.4058</c:v>
                      </c:pt>
                      <c:pt idx="38">
                        <c:v>838.86400000000003</c:v>
                      </c:pt>
                      <c:pt idx="39">
                        <c:v>837.42650000000003</c:v>
                      </c:pt>
                      <c:pt idx="40">
                        <c:v>836.09270000000004</c:v>
                      </c:pt>
                      <c:pt idx="41">
                        <c:v>834.86220000000003</c:v>
                      </c:pt>
                      <c:pt idx="42">
                        <c:v>833.73440000000005</c:v>
                      </c:pt>
                      <c:pt idx="43">
                        <c:v>832.70899999999995</c:v>
                      </c:pt>
                      <c:pt idx="44">
                        <c:v>831.78539999999998</c:v>
                      </c:pt>
                      <c:pt idx="45">
                        <c:v>830.96320000000003</c:v>
                      </c:pt>
                      <c:pt idx="46">
                        <c:v>830.24210000000005</c:v>
                      </c:pt>
                      <c:pt idx="47">
                        <c:v>829.62180000000001</c:v>
                      </c:pt>
                      <c:pt idx="48">
                        <c:v>829.10199999999998</c:v>
                      </c:pt>
                      <c:pt idx="49">
                        <c:v>828.68230000000005</c:v>
                      </c:pt>
                      <c:pt idx="50">
                        <c:v>828.36249999999995</c:v>
                      </c:pt>
                      <c:pt idx="51">
                        <c:v>828.14239999999995</c:v>
                      </c:pt>
                      <c:pt idx="52">
                        <c:v>828.02170000000001</c:v>
                      </c:pt>
                      <c:pt idx="53">
                        <c:v>828.00049999999999</c:v>
                      </c:pt>
                      <c:pt idx="54">
                        <c:v>828.07839999999999</c:v>
                      </c:pt>
                      <c:pt idx="55">
                        <c:v>828.25530000000003</c:v>
                      </c:pt>
                      <c:pt idx="56">
                        <c:v>828.53129999999999</c:v>
                      </c:pt>
                      <c:pt idx="57">
                        <c:v>828.90629999999999</c:v>
                      </c:pt>
                      <c:pt idx="58">
                        <c:v>829.38009999999997</c:v>
                      </c:pt>
                      <c:pt idx="59">
                        <c:v>829.9529</c:v>
                      </c:pt>
                      <c:pt idx="60">
                        <c:v>830.62469999999996</c:v>
                      </c:pt>
                      <c:pt idx="61">
                        <c:v>831.3954</c:v>
                      </c:pt>
                      <c:pt idx="62">
                        <c:v>832.26530000000002</c:v>
                      </c:pt>
                      <c:pt idx="63">
                        <c:v>833.23440000000005</c:v>
                      </c:pt>
                      <c:pt idx="64">
                        <c:v>834.30280000000005</c:v>
                      </c:pt>
                      <c:pt idx="65">
                        <c:v>835.47080000000005</c:v>
                      </c:pt>
                      <c:pt idx="66">
                        <c:v>836.73860000000002</c:v>
                      </c:pt>
                      <c:pt idx="67">
                        <c:v>838.10619999999994</c:v>
                      </c:pt>
                      <c:pt idx="68">
                        <c:v>839.57420000000002</c:v>
                      </c:pt>
                      <c:pt idx="69">
                        <c:v>841.14260000000002</c:v>
                      </c:pt>
                      <c:pt idx="70">
                        <c:v>842.81179999999995</c:v>
                      </c:pt>
                      <c:pt idx="71">
                        <c:v>844.58219999999994</c:v>
                      </c:pt>
                      <c:pt idx="72">
                        <c:v>846.45399999999995</c:v>
                      </c:pt>
                      <c:pt idx="73">
                        <c:v>848.42790000000002</c:v>
                      </c:pt>
                      <c:pt idx="74">
                        <c:v>850.50400000000002</c:v>
                      </c:pt>
                      <c:pt idx="75">
                        <c:v>852.68290000000002</c:v>
                      </c:pt>
                      <c:pt idx="76">
                        <c:v>854.96519999999998</c:v>
                      </c:pt>
                      <c:pt idx="77">
                        <c:v>857.35119999999995</c:v>
                      </c:pt>
                      <c:pt idx="78">
                        <c:v>859.8415</c:v>
                      </c:pt>
                      <c:pt idx="79">
                        <c:v>862.43679999999995</c:v>
                      </c:pt>
                      <c:pt idx="80">
                        <c:v>865.13750000000005</c:v>
                      </c:pt>
                      <c:pt idx="81">
                        <c:v>867.94439999999997</c:v>
                      </c:pt>
                      <c:pt idx="82">
                        <c:v>870.85810000000004</c:v>
                      </c:pt>
                      <c:pt idx="83">
                        <c:v>873.87919999999997</c:v>
                      </c:pt>
                      <c:pt idx="84">
                        <c:v>877.0086</c:v>
                      </c:pt>
                      <c:pt idx="85">
                        <c:v>880.24699999999996</c:v>
                      </c:pt>
                      <c:pt idx="86">
                        <c:v>883.5951</c:v>
                      </c:pt>
                      <c:pt idx="87">
                        <c:v>887.05380000000002</c:v>
                      </c:pt>
                      <c:pt idx="88">
                        <c:v>890.62400000000002</c:v>
                      </c:pt>
                      <c:pt idx="89">
                        <c:v>894.30640000000005</c:v>
                      </c:pt>
                      <c:pt idx="90">
                        <c:v>898.10220000000004</c:v>
                      </c:pt>
                      <c:pt idx="91">
                        <c:v>902.01210000000003</c:v>
                      </c:pt>
                      <c:pt idx="92">
                        <c:v>906.03719999999998</c:v>
                      </c:pt>
                      <c:pt idx="93">
                        <c:v>910.17859999999996</c:v>
                      </c:pt>
                      <c:pt idx="94">
                        <c:v>914.43730000000005</c:v>
                      </c:pt>
                      <c:pt idx="95">
                        <c:v>918.8143</c:v>
                      </c:pt>
                      <c:pt idx="96">
                        <c:v>923.31100000000004</c:v>
                      </c:pt>
                      <c:pt idx="97">
                        <c:v>927.92830000000004</c:v>
                      </c:pt>
                      <c:pt idx="98">
                        <c:v>932.66769999999997</c:v>
                      </c:pt>
                      <c:pt idx="99">
                        <c:v>937.53020000000004</c:v>
                      </c:pt>
                      <c:pt idx="100">
                        <c:v>942.51729999999998</c:v>
                      </c:pt>
                      <c:pt idx="101">
                        <c:v>947.63030000000003</c:v>
                      </c:pt>
                      <c:pt idx="102">
                        <c:v>952.87059999999997</c:v>
                      </c:pt>
                      <c:pt idx="103">
                        <c:v>958.23969999999997</c:v>
                      </c:pt>
                      <c:pt idx="104">
                        <c:v>963.73889999999994</c:v>
                      </c:pt>
                      <c:pt idx="105">
                        <c:v>969.37</c:v>
                      </c:pt>
                      <c:pt idx="106">
                        <c:v>975.13430000000005</c:v>
                      </c:pt>
                      <c:pt idx="107">
                        <c:v>981.03369999999995</c:v>
                      </c:pt>
                      <c:pt idx="108">
                        <c:v>987.06979999999999</c:v>
                      </c:pt>
                      <c:pt idx="109">
                        <c:v>993.24419999999998</c:v>
                      </c:pt>
                      <c:pt idx="110">
                        <c:v>999.55889999999999</c:v>
                      </c:pt>
                      <c:pt idx="111">
                        <c:v>1006.0155999999999</c:v>
                      </c:pt>
                      <c:pt idx="112">
                        <c:v>1012.6162</c:v>
                      </c:pt>
                      <c:pt idx="113">
                        <c:v>1019.3628</c:v>
                      </c:pt>
                      <c:pt idx="114">
                        <c:v>1026.2572</c:v>
                      </c:pt>
                      <c:pt idx="115">
                        <c:v>1033.3016</c:v>
                      </c:pt>
                      <c:pt idx="116">
                        <c:v>1040.4824000000001</c:v>
                      </c:pt>
                      <c:pt idx="117">
                        <c:v>1047.7935</c:v>
                      </c:pt>
                      <c:pt idx="118">
                        <c:v>1055.2284999999999</c:v>
                      </c:pt>
                      <c:pt idx="119">
                        <c:v>1062.7809</c:v>
                      </c:pt>
                      <c:pt idx="120">
                        <c:v>1070.444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0B37-45B5-AA0F-85FB516523AD}"/>
                  </c:ext>
                </c:extLst>
              </c15:ser>
            </c15:filteredScatterSeries>
          </c:ext>
        </c:extLst>
      </c:scatterChart>
      <c:valAx>
        <c:axId val="156132096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pt-BR" sz="1400"/>
                  <a:t>Y(m)</a:t>
                </a:r>
              </a:p>
            </c:rich>
          </c:tx>
          <c:layout>
            <c:manualLayout>
              <c:xMode val="edge"/>
              <c:yMode val="edge"/>
              <c:x val="0.48566930177243439"/>
              <c:y val="0.92165299998649475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400"/>
            </a:pPr>
            <a:endParaRPr lang="pt-BR"/>
          </a:p>
        </c:txPr>
        <c:crossAx val="156133632"/>
        <c:crosses val="autoZero"/>
        <c:crossBetween val="midCat"/>
      </c:valAx>
      <c:valAx>
        <c:axId val="156133632"/>
        <c:scaling>
          <c:orientation val="minMax"/>
          <c:min val="800"/>
        </c:scaling>
        <c:delete val="0"/>
        <c:axPos val="l"/>
        <c:title>
          <c:tx>
            <c:rich>
              <a:bodyPr/>
              <a:lstStyle/>
              <a:p>
                <a:pPr>
                  <a:defRPr sz="1600"/>
                </a:pPr>
                <a:r>
                  <a:rPr lang="pt-BR" sz="1600"/>
                  <a:t>Temperatura</a:t>
                </a:r>
                <a:r>
                  <a:rPr lang="pt-BR" sz="1600" baseline="0"/>
                  <a:t> (K)</a:t>
                </a:r>
                <a:endParaRPr lang="pt-BR" sz="1600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400"/>
            </a:pPr>
            <a:endParaRPr lang="pt-BR"/>
          </a:p>
        </c:txPr>
        <c:crossAx val="156132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56494128232214"/>
          <c:y val="0.12494153986618486"/>
          <c:w val="0.26355048897820732"/>
          <c:h val="0.19412249109113411"/>
        </c:manualLayout>
      </c:layout>
      <c:overlay val="0"/>
      <c:txPr>
        <a:bodyPr/>
        <a:lstStyle/>
        <a:p>
          <a:pPr>
            <a:defRPr sz="1400"/>
          </a:pPr>
          <a:endParaRPr lang="pt-BR"/>
        </a:p>
      </c:txPr>
    </c:legend>
    <c:plotVisOnly val="1"/>
    <c:dispBlanksAs val="gap"/>
    <c:showDLblsOverMax val="0"/>
  </c:chart>
  <c:spPr>
    <a:ln>
      <a:solidFill>
        <a:schemeClr val="bg1"/>
      </a:solidFill>
    </a:ln>
  </c:sp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Teste</a:t>
            </a:r>
            <a:r>
              <a:rPr lang="pt-BR" baseline="0"/>
              <a:t> de independência de malha</a:t>
            </a:r>
          </a:p>
          <a:p>
            <a:pPr>
              <a:defRPr/>
            </a:pPr>
            <a:r>
              <a:rPr lang="pt-BR" baseline="0"/>
              <a:t>t = 1940 s, Y = 0,10 m</a:t>
            </a:r>
            <a:endParaRPr lang="pt-BR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27150783407763E-2"/>
          <c:y val="0.12001396540694005"/>
          <c:w val="0.87003404549451746"/>
          <c:h val="0.70957789157368756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'Indep Malha 1940s _Linhas'!$E$2:$I$2</c:f>
              <c:strCache>
                <c:ptCount val="1"/>
                <c:pt idx="0">
                  <c:v>TDMA with ADI 3x3 - 200s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'Indep Malha 1940s _Linhas'!$F$12:$F$14</c:f>
              <c:numCache>
                <c:formatCode>0.00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'Indep Malha 1940s _Linhas'!$H$12:$H$14</c:f>
              <c:numCache>
                <c:formatCode>0.00</c:formatCode>
                <c:ptCount val="3"/>
                <c:pt idx="0">
                  <c:v>934.53689999999995</c:v>
                </c:pt>
                <c:pt idx="1">
                  <c:v>819.62760000000003</c:v>
                </c:pt>
                <c:pt idx="2">
                  <c:v>934.53689999999995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9E-4B33-A409-1C3A1440640C}"/>
            </c:ext>
          </c:extLst>
        </c:ser>
        <c:ser>
          <c:idx val="4"/>
          <c:order val="1"/>
          <c:tx>
            <c:strRef>
              <c:f>'Indep Malha 1940s _Linhas'!$N$2:$R$2</c:f>
              <c:strCache>
                <c:ptCount val="1"/>
                <c:pt idx="0">
                  <c:v>TDMA with ADI 7x7 - 200s</c:v>
                </c:pt>
              </c:strCache>
            </c:strRef>
          </c:tx>
          <c:spPr>
            <a:ln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'Indep Malha 1940s _Linhas'!$O$12:$O$18</c:f>
              <c:numCache>
                <c:formatCode>0.00</c:formatCode>
                <c:ptCount val="7"/>
                <c:pt idx="0">
                  <c:v>0</c:v>
                </c:pt>
                <c:pt idx="1">
                  <c:v>0.16669999999999999</c:v>
                </c:pt>
                <c:pt idx="2">
                  <c:v>0.33329999999999999</c:v>
                </c:pt>
                <c:pt idx="3">
                  <c:v>0.5</c:v>
                </c:pt>
                <c:pt idx="4">
                  <c:v>0.66669999999999996</c:v>
                </c:pt>
                <c:pt idx="5">
                  <c:v>0.83330000000000004</c:v>
                </c:pt>
                <c:pt idx="6">
                  <c:v>1</c:v>
                </c:pt>
              </c:numCache>
            </c:numRef>
          </c:xVal>
          <c:yVal>
            <c:numRef>
              <c:f>'Indep Malha 1940s _Linhas'!$Q$12:$Q$18</c:f>
              <c:numCache>
                <c:formatCode>0.00</c:formatCode>
                <c:ptCount val="7"/>
                <c:pt idx="0">
                  <c:v>1053.7213999999999</c:v>
                </c:pt>
                <c:pt idx="1">
                  <c:v>869.85339999999997</c:v>
                </c:pt>
                <c:pt idx="2">
                  <c:v>836.42619999999999</c:v>
                </c:pt>
                <c:pt idx="3">
                  <c:v>831.31600000000003</c:v>
                </c:pt>
                <c:pt idx="4">
                  <c:v>836.42610000000002</c:v>
                </c:pt>
                <c:pt idx="5">
                  <c:v>869.85329999999999</c:v>
                </c:pt>
                <c:pt idx="6">
                  <c:v>1053.7212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9E-4B33-A409-1C3A1440640C}"/>
            </c:ext>
          </c:extLst>
        </c:ser>
        <c:ser>
          <c:idx val="5"/>
          <c:order val="2"/>
          <c:tx>
            <c:strRef>
              <c:f>'Indep Malha 1940s _Linhas'!$W$2:$AA$2</c:f>
              <c:strCache>
                <c:ptCount val="1"/>
                <c:pt idx="0">
                  <c:v>TDMA with ADI 15x15 - 200s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'Indep Malha 1940s _Linhas'!$X$12:$X$26</c:f>
              <c:numCache>
                <c:formatCode>0.0000</c:formatCode>
                <c:ptCount val="15"/>
                <c:pt idx="0">
                  <c:v>0</c:v>
                </c:pt>
                <c:pt idx="1">
                  <c:v>7.1400000000000005E-2</c:v>
                </c:pt>
                <c:pt idx="2">
                  <c:v>0.1429</c:v>
                </c:pt>
                <c:pt idx="3">
                  <c:v>0.21429999999999999</c:v>
                </c:pt>
                <c:pt idx="4">
                  <c:v>0.28570000000000001</c:v>
                </c:pt>
                <c:pt idx="5">
                  <c:v>0.35709999999999997</c:v>
                </c:pt>
                <c:pt idx="6">
                  <c:v>0.42859999999999998</c:v>
                </c:pt>
                <c:pt idx="7">
                  <c:v>0.5</c:v>
                </c:pt>
                <c:pt idx="8">
                  <c:v>0.57140000000000002</c:v>
                </c:pt>
                <c:pt idx="9">
                  <c:v>0.64290000000000003</c:v>
                </c:pt>
                <c:pt idx="10">
                  <c:v>0.71430000000000005</c:v>
                </c:pt>
                <c:pt idx="11">
                  <c:v>0.78569999999999995</c:v>
                </c:pt>
                <c:pt idx="12">
                  <c:v>0.85709999999999997</c:v>
                </c:pt>
                <c:pt idx="13">
                  <c:v>0.92859999999999998</c:v>
                </c:pt>
                <c:pt idx="14">
                  <c:v>1</c:v>
                </c:pt>
              </c:numCache>
            </c:numRef>
          </c:xVal>
          <c:yVal>
            <c:numRef>
              <c:f>'Indep Malha 1940s _Linhas'!$Z$12:$Z$26</c:f>
              <c:numCache>
                <c:formatCode>0.00</c:formatCode>
                <c:ptCount val="15"/>
                <c:pt idx="0">
                  <c:v>1120.5023000000001</c:v>
                </c:pt>
                <c:pt idx="1">
                  <c:v>952.29179999999997</c:v>
                </c:pt>
                <c:pt idx="2">
                  <c:v>885.43799999999999</c:v>
                </c:pt>
                <c:pt idx="3">
                  <c:v>855.87480000000005</c:v>
                </c:pt>
                <c:pt idx="4">
                  <c:v>842.26340000000005</c:v>
                </c:pt>
                <c:pt idx="5">
                  <c:v>836.00800000000004</c:v>
                </c:pt>
                <c:pt idx="6">
                  <c:v>833.36329999999998</c:v>
                </c:pt>
                <c:pt idx="7">
                  <c:v>832.6422</c:v>
                </c:pt>
                <c:pt idx="8">
                  <c:v>833.36310000000003</c:v>
                </c:pt>
                <c:pt idx="9">
                  <c:v>836.0077</c:v>
                </c:pt>
                <c:pt idx="10">
                  <c:v>842.2627</c:v>
                </c:pt>
                <c:pt idx="11">
                  <c:v>855.87350000000004</c:v>
                </c:pt>
                <c:pt idx="12">
                  <c:v>885.43560000000002</c:v>
                </c:pt>
                <c:pt idx="13">
                  <c:v>952.28920000000005</c:v>
                </c:pt>
                <c:pt idx="14">
                  <c:v>1120.4987000000001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9E-4B33-A409-1C3A1440640C}"/>
            </c:ext>
          </c:extLst>
        </c:ser>
        <c:ser>
          <c:idx val="2"/>
          <c:order val="3"/>
          <c:tx>
            <c:strRef>
              <c:f>'Indep Malha 1940s _Linhas'!$AG$2:$AK$2</c:f>
              <c:strCache>
                <c:ptCount val="1"/>
                <c:pt idx="0">
                  <c:v>TDMA with ADI 31x31 - 200s</c:v>
                </c:pt>
              </c:strCache>
            </c:strRef>
          </c:tx>
          <c:spPr>
            <a:ln w="12700">
              <a:solidFill>
                <a:schemeClr val="accent6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'Indep Malha 1940s _Linhas'!$AH$12:$AH$42</c:f>
              <c:numCache>
                <c:formatCode>0.00</c:formatCode>
                <c:ptCount val="31"/>
                <c:pt idx="0">
                  <c:v>0</c:v>
                </c:pt>
                <c:pt idx="1">
                  <c:v>3.3300000000000003E-2</c:v>
                </c:pt>
                <c:pt idx="2">
                  <c:v>6.6699999999999995E-2</c:v>
                </c:pt>
                <c:pt idx="3">
                  <c:v>0.1</c:v>
                </c:pt>
                <c:pt idx="4">
                  <c:v>0.1333</c:v>
                </c:pt>
                <c:pt idx="5">
                  <c:v>0.16669999999999999</c:v>
                </c:pt>
                <c:pt idx="6">
                  <c:v>0.2</c:v>
                </c:pt>
                <c:pt idx="7">
                  <c:v>0.23330000000000001</c:v>
                </c:pt>
                <c:pt idx="8">
                  <c:v>0.26669999999999999</c:v>
                </c:pt>
                <c:pt idx="9">
                  <c:v>0.3</c:v>
                </c:pt>
                <c:pt idx="10">
                  <c:v>0.33329999999999999</c:v>
                </c:pt>
                <c:pt idx="11">
                  <c:v>0.36670000000000003</c:v>
                </c:pt>
                <c:pt idx="12">
                  <c:v>0.4</c:v>
                </c:pt>
                <c:pt idx="13">
                  <c:v>0.43330000000000002</c:v>
                </c:pt>
                <c:pt idx="14">
                  <c:v>0.4667</c:v>
                </c:pt>
                <c:pt idx="15">
                  <c:v>0.5</c:v>
                </c:pt>
                <c:pt idx="16">
                  <c:v>0.5333</c:v>
                </c:pt>
                <c:pt idx="17">
                  <c:v>0.56669999999999998</c:v>
                </c:pt>
                <c:pt idx="18">
                  <c:v>0.6</c:v>
                </c:pt>
                <c:pt idx="19">
                  <c:v>0.63329999999999997</c:v>
                </c:pt>
                <c:pt idx="20">
                  <c:v>0.66669999999999996</c:v>
                </c:pt>
                <c:pt idx="21">
                  <c:v>0.7</c:v>
                </c:pt>
                <c:pt idx="22">
                  <c:v>0.73329999999999995</c:v>
                </c:pt>
                <c:pt idx="23">
                  <c:v>0.76670000000000005</c:v>
                </c:pt>
                <c:pt idx="24">
                  <c:v>0.8</c:v>
                </c:pt>
                <c:pt idx="25">
                  <c:v>0.83330000000000004</c:v>
                </c:pt>
                <c:pt idx="26">
                  <c:v>0.86670000000000003</c:v>
                </c:pt>
                <c:pt idx="27">
                  <c:v>0.9</c:v>
                </c:pt>
                <c:pt idx="28">
                  <c:v>0.93330000000000002</c:v>
                </c:pt>
                <c:pt idx="29">
                  <c:v>0.9667</c:v>
                </c:pt>
                <c:pt idx="30">
                  <c:v>1</c:v>
                </c:pt>
              </c:numCache>
            </c:numRef>
          </c:xVal>
          <c:yVal>
            <c:numRef>
              <c:f>'Indep Malha 1940s _Linhas'!$AJ$12:$AJ$42</c:f>
              <c:numCache>
                <c:formatCode>0.00</c:formatCode>
                <c:ptCount val="31"/>
                <c:pt idx="0">
                  <c:v>1125.7620999999999</c:v>
                </c:pt>
                <c:pt idx="1">
                  <c:v>1025.0269000000001</c:v>
                </c:pt>
                <c:pt idx="2">
                  <c:v>961.26670000000001</c:v>
                </c:pt>
                <c:pt idx="3">
                  <c:v>919.80939999999998</c:v>
                </c:pt>
                <c:pt idx="4">
                  <c:v>892.17499999999995</c:v>
                </c:pt>
                <c:pt idx="5">
                  <c:v>873.39149999999995</c:v>
                </c:pt>
                <c:pt idx="6">
                  <c:v>860.44709999999998</c:v>
                </c:pt>
                <c:pt idx="7">
                  <c:v>851.45050000000003</c:v>
                </c:pt>
                <c:pt idx="8">
                  <c:v>845.18129999999996</c:v>
                </c:pt>
                <c:pt idx="9">
                  <c:v>840.82140000000004</c:v>
                </c:pt>
                <c:pt idx="10">
                  <c:v>837.80949999999996</c:v>
                </c:pt>
                <c:pt idx="11">
                  <c:v>835.75580000000002</c:v>
                </c:pt>
                <c:pt idx="12">
                  <c:v>834.39059999999995</c:v>
                </c:pt>
                <c:pt idx="13">
                  <c:v>833.53200000000004</c:v>
                </c:pt>
                <c:pt idx="14">
                  <c:v>833.0616</c:v>
                </c:pt>
                <c:pt idx="15">
                  <c:v>832.91200000000003</c:v>
                </c:pt>
                <c:pt idx="16">
                  <c:v>833.06119999999999</c:v>
                </c:pt>
                <c:pt idx="17">
                  <c:v>833.53110000000004</c:v>
                </c:pt>
                <c:pt idx="18">
                  <c:v>834.38900000000001</c:v>
                </c:pt>
                <c:pt idx="19">
                  <c:v>835.75360000000001</c:v>
                </c:pt>
                <c:pt idx="20">
                  <c:v>837.80650000000003</c:v>
                </c:pt>
                <c:pt idx="21">
                  <c:v>840.81719999999996</c:v>
                </c:pt>
                <c:pt idx="22">
                  <c:v>845.17570000000001</c:v>
                </c:pt>
                <c:pt idx="23">
                  <c:v>851.44320000000005</c:v>
                </c:pt>
                <c:pt idx="24">
                  <c:v>860.43759999999997</c:v>
                </c:pt>
                <c:pt idx="25">
                  <c:v>873.37929999999994</c:v>
                </c:pt>
                <c:pt idx="26">
                  <c:v>892.15920000000006</c:v>
                </c:pt>
                <c:pt idx="27">
                  <c:v>919.78899999999999</c:v>
                </c:pt>
                <c:pt idx="28">
                  <c:v>961.2405</c:v>
                </c:pt>
                <c:pt idx="29">
                  <c:v>1025.0002999999999</c:v>
                </c:pt>
                <c:pt idx="30">
                  <c:v>1125.7384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B9E-4B33-A409-1C3A1440640C}"/>
            </c:ext>
          </c:extLst>
        </c:ser>
        <c:ser>
          <c:idx val="0"/>
          <c:order val="4"/>
          <c:tx>
            <c:strRef>
              <c:f>'Indep Malha 1940s _Linhas'!$AP$2:$AT$2</c:f>
              <c:strCache>
                <c:ptCount val="1"/>
                <c:pt idx="0">
                  <c:v>TDMA with ADI 61x61 - 200s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6">
                  <a:lumMod val="75000"/>
                </a:schemeClr>
              </a:solidFill>
              <a:prstDash val="dashDot"/>
            </a:ln>
          </c:spPr>
          <c:marker>
            <c:symbol val="none"/>
          </c:marker>
          <c:xVal>
            <c:numRef>
              <c:f>'Indep Malha 1940s _Linhas'!$AQ$12:$AQ$72</c:f>
              <c:numCache>
                <c:formatCode>0.00</c:formatCode>
                <c:ptCount val="61"/>
                <c:pt idx="0">
                  <c:v>0</c:v>
                </c:pt>
                <c:pt idx="1">
                  <c:v>1.67E-2</c:v>
                </c:pt>
                <c:pt idx="2">
                  <c:v>3.3300000000000003E-2</c:v>
                </c:pt>
                <c:pt idx="3">
                  <c:v>0.05</c:v>
                </c:pt>
                <c:pt idx="4">
                  <c:v>6.6699999999999995E-2</c:v>
                </c:pt>
                <c:pt idx="5">
                  <c:v>8.3299999999999999E-2</c:v>
                </c:pt>
                <c:pt idx="6">
                  <c:v>0.1</c:v>
                </c:pt>
                <c:pt idx="7">
                  <c:v>0.1167</c:v>
                </c:pt>
                <c:pt idx="8">
                  <c:v>0.1333</c:v>
                </c:pt>
                <c:pt idx="9">
                  <c:v>0.15</c:v>
                </c:pt>
                <c:pt idx="10">
                  <c:v>0.16669999999999999</c:v>
                </c:pt>
                <c:pt idx="11">
                  <c:v>0.18329999999999999</c:v>
                </c:pt>
                <c:pt idx="12">
                  <c:v>0.2</c:v>
                </c:pt>
                <c:pt idx="13">
                  <c:v>0.2167</c:v>
                </c:pt>
                <c:pt idx="14">
                  <c:v>0.23330000000000001</c:v>
                </c:pt>
                <c:pt idx="15">
                  <c:v>0.25</c:v>
                </c:pt>
                <c:pt idx="16">
                  <c:v>0.26669999999999999</c:v>
                </c:pt>
                <c:pt idx="17">
                  <c:v>0.2833</c:v>
                </c:pt>
                <c:pt idx="18">
                  <c:v>0.3</c:v>
                </c:pt>
                <c:pt idx="19">
                  <c:v>0.31669999999999998</c:v>
                </c:pt>
                <c:pt idx="20">
                  <c:v>0.33329999999999999</c:v>
                </c:pt>
                <c:pt idx="21">
                  <c:v>0.35</c:v>
                </c:pt>
                <c:pt idx="22">
                  <c:v>0.36670000000000003</c:v>
                </c:pt>
                <c:pt idx="23">
                  <c:v>0.38329999999999997</c:v>
                </c:pt>
                <c:pt idx="24">
                  <c:v>0.4</c:v>
                </c:pt>
                <c:pt idx="25">
                  <c:v>0.41670000000000001</c:v>
                </c:pt>
                <c:pt idx="26">
                  <c:v>0.43330000000000002</c:v>
                </c:pt>
                <c:pt idx="27">
                  <c:v>0.45</c:v>
                </c:pt>
                <c:pt idx="28">
                  <c:v>0.4667</c:v>
                </c:pt>
                <c:pt idx="29">
                  <c:v>0.48330000000000001</c:v>
                </c:pt>
                <c:pt idx="30">
                  <c:v>0.5</c:v>
                </c:pt>
                <c:pt idx="31">
                  <c:v>0.51670000000000005</c:v>
                </c:pt>
                <c:pt idx="32">
                  <c:v>0.5333</c:v>
                </c:pt>
                <c:pt idx="33">
                  <c:v>0.55000000000000004</c:v>
                </c:pt>
                <c:pt idx="34">
                  <c:v>0.56669999999999998</c:v>
                </c:pt>
                <c:pt idx="35">
                  <c:v>0.58330000000000004</c:v>
                </c:pt>
                <c:pt idx="36">
                  <c:v>0.6</c:v>
                </c:pt>
                <c:pt idx="37">
                  <c:v>0.61670000000000003</c:v>
                </c:pt>
                <c:pt idx="38">
                  <c:v>0.63329999999999997</c:v>
                </c:pt>
                <c:pt idx="39">
                  <c:v>0.65</c:v>
                </c:pt>
                <c:pt idx="40">
                  <c:v>0.66669999999999996</c:v>
                </c:pt>
                <c:pt idx="41">
                  <c:v>0.68330000000000002</c:v>
                </c:pt>
                <c:pt idx="42">
                  <c:v>0.7</c:v>
                </c:pt>
                <c:pt idx="43">
                  <c:v>0.7167</c:v>
                </c:pt>
                <c:pt idx="44">
                  <c:v>0.73329999999999995</c:v>
                </c:pt>
                <c:pt idx="45">
                  <c:v>0.75</c:v>
                </c:pt>
                <c:pt idx="46">
                  <c:v>0.76670000000000005</c:v>
                </c:pt>
                <c:pt idx="47">
                  <c:v>0.7833</c:v>
                </c:pt>
                <c:pt idx="48">
                  <c:v>0.8</c:v>
                </c:pt>
                <c:pt idx="49">
                  <c:v>0.81669999999999998</c:v>
                </c:pt>
                <c:pt idx="50">
                  <c:v>0.83330000000000004</c:v>
                </c:pt>
                <c:pt idx="51">
                  <c:v>0.85</c:v>
                </c:pt>
                <c:pt idx="52">
                  <c:v>0.86670000000000003</c:v>
                </c:pt>
                <c:pt idx="53">
                  <c:v>0.88329999999999997</c:v>
                </c:pt>
                <c:pt idx="54">
                  <c:v>0.9</c:v>
                </c:pt>
                <c:pt idx="55">
                  <c:v>0.91669999999999996</c:v>
                </c:pt>
                <c:pt idx="56">
                  <c:v>0.93330000000000002</c:v>
                </c:pt>
                <c:pt idx="57">
                  <c:v>0.95</c:v>
                </c:pt>
                <c:pt idx="58">
                  <c:v>0.9667</c:v>
                </c:pt>
                <c:pt idx="59">
                  <c:v>0.98329999999999995</c:v>
                </c:pt>
                <c:pt idx="60">
                  <c:v>1</c:v>
                </c:pt>
              </c:numCache>
            </c:numRef>
          </c:xVal>
          <c:yVal>
            <c:numRef>
              <c:f>'Indep Malha 1940s _Linhas'!$AS$12:$AS$72</c:f>
              <c:numCache>
                <c:formatCode>0.00</c:formatCode>
                <c:ptCount val="61"/>
                <c:pt idx="0">
                  <c:v>1125.7826</c:v>
                </c:pt>
                <c:pt idx="1">
                  <c:v>1073.0401999999999</c:v>
                </c:pt>
                <c:pt idx="2">
                  <c:v>1026.9712999999999</c:v>
                </c:pt>
                <c:pt idx="3">
                  <c:v>990.74879999999996</c:v>
                </c:pt>
                <c:pt idx="4">
                  <c:v>961.93520000000001</c:v>
                </c:pt>
                <c:pt idx="5">
                  <c:v>938.78890000000001</c:v>
                </c:pt>
                <c:pt idx="6">
                  <c:v>920.04319999999996</c:v>
                </c:pt>
                <c:pt idx="7">
                  <c:v>904.75890000000004</c:v>
                </c:pt>
                <c:pt idx="8">
                  <c:v>892.22580000000005</c:v>
                </c:pt>
                <c:pt idx="9">
                  <c:v>881.89890000000003</c:v>
                </c:pt>
                <c:pt idx="10">
                  <c:v>873.35479999999995</c:v>
                </c:pt>
                <c:pt idx="11">
                  <c:v>866.26210000000003</c:v>
                </c:pt>
                <c:pt idx="12">
                  <c:v>860.35879999999997</c:v>
                </c:pt>
                <c:pt idx="13">
                  <c:v>855.43619999999999</c:v>
                </c:pt>
                <c:pt idx="14">
                  <c:v>851.32669999999996</c:v>
                </c:pt>
                <c:pt idx="15">
                  <c:v>847.89459999999997</c:v>
                </c:pt>
                <c:pt idx="16">
                  <c:v>845.02869999999996</c:v>
                </c:pt>
                <c:pt idx="17">
                  <c:v>842.6377</c:v>
                </c:pt>
                <c:pt idx="18">
                  <c:v>840.64570000000003</c:v>
                </c:pt>
                <c:pt idx="19">
                  <c:v>838.98990000000003</c:v>
                </c:pt>
                <c:pt idx="20">
                  <c:v>837.61779999999999</c:v>
                </c:pt>
                <c:pt idx="21">
                  <c:v>836.48530000000005</c:v>
                </c:pt>
                <c:pt idx="22">
                  <c:v>835.55589999999995</c:v>
                </c:pt>
                <c:pt idx="23">
                  <c:v>834.7989</c:v>
                </c:pt>
                <c:pt idx="24">
                  <c:v>834.18889999999999</c:v>
                </c:pt>
                <c:pt idx="25">
                  <c:v>833.70510000000002</c:v>
                </c:pt>
                <c:pt idx="26">
                  <c:v>833.33079999999995</c:v>
                </c:pt>
                <c:pt idx="27">
                  <c:v>833.05280000000005</c:v>
                </c:pt>
                <c:pt idx="28">
                  <c:v>832.86099999999999</c:v>
                </c:pt>
                <c:pt idx="29">
                  <c:v>832.74850000000004</c:v>
                </c:pt>
                <c:pt idx="30">
                  <c:v>832.71119999999996</c:v>
                </c:pt>
                <c:pt idx="31">
                  <c:v>832.74760000000003</c:v>
                </c:pt>
                <c:pt idx="32">
                  <c:v>832.85929999999996</c:v>
                </c:pt>
                <c:pt idx="33">
                  <c:v>833.05020000000002</c:v>
                </c:pt>
                <c:pt idx="34">
                  <c:v>833.32730000000004</c:v>
                </c:pt>
                <c:pt idx="35">
                  <c:v>833.70050000000003</c:v>
                </c:pt>
                <c:pt idx="36">
                  <c:v>834.18309999999997</c:v>
                </c:pt>
                <c:pt idx="37">
                  <c:v>834.79190000000006</c:v>
                </c:pt>
                <c:pt idx="38">
                  <c:v>835.54750000000001</c:v>
                </c:pt>
                <c:pt idx="39">
                  <c:v>836.47540000000004</c:v>
                </c:pt>
                <c:pt idx="40">
                  <c:v>837.60609999999997</c:v>
                </c:pt>
                <c:pt idx="41">
                  <c:v>838.97649999999999</c:v>
                </c:pt>
                <c:pt idx="42">
                  <c:v>840.63030000000003</c:v>
                </c:pt>
                <c:pt idx="43">
                  <c:v>842.62</c:v>
                </c:pt>
                <c:pt idx="44">
                  <c:v>845.0086</c:v>
                </c:pt>
                <c:pt idx="45">
                  <c:v>847.87170000000003</c:v>
                </c:pt>
                <c:pt idx="46">
                  <c:v>851.30070000000001</c:v>
                </c:pt>
                <c:pt idx="47">
                  <c:v>855.40679999999998</c:v>
                </c:pt>
                <c:pt idx="48">
                  <c:v>860.32560000000001</c:v>
                </c:pt>
                <c:pt idx="49">
                  <c:v>866.22479999999996</c:v>
                </c:pt>
                <c:pt idx="50">
                  <c:v>873.31290000000001</c:v>
                </c:pt>
                <c:pt idx="51">
                  <c:v>881.85180000000003</c:v>
                </c:pt>
                <c:pt idx="52">
                  <c:v>892.17330000000004</c:v>
                </c:pt>
                <c:pt idx="53">
                  <c:v>904.70029999999997</c:v>
                </c:pt>
                <c:pt idx="54">
                  <c:v>919.9778</c:v>
                </c:pt>
                <c:pt idx="55">
                  <c:v>938.71559999999999</c:v>
                </c:pt>
                <c:pt idx="56">
                  <c:v>961.85249999999996</c:v>
                </c:pt>
                <c:pt idx="57">
                  <c:v>990.65430000000003</c:v>
                </c:pt>
                <c:pt idx="58">
                  <c:v>1026.8621000000001</c:v>
                </c:pt>
                <c:pt idx="59">
                  <c:v>1072.9258</c:v>
                </c:pt>
                <c:pt idx="60">
                  <c:v>1125.6846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B9E-4B33-A409-1C3A14406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32096"/>
        <c:axId val="156133632"/>
        <c:extLst/>
      </c:scatterChart>
      <c:valAx>
        <c:axId val="156132096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pt-BR" sz="1400"/>
                  <a:t>X</a:t>
                </a:r>
                <a:r>
                  <a:rPr lang="pt-BR" sz="1400" baseline="0"/>
                  <a:t> </a:t>
                </a:r>
                <a:r>
                  <a:rPr lang="pt-BR" sz="1400"/>
                  <a:t>(m)</a:t>
                </a:r>
              </a:p>
            </c:rich>
          </c:tx>
          <c:layout>
            <c:manualLayout>
              <c:xMode val="edge"/>
              <c:yMode val="edge"/>
              <c:x val="0.48566930177243439"/>
              <c:y val="0.92165299998649475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400"/>
            </a:pPr>
            <a:endParaRPr lang="pt-BR"/>
          </a:p>
        </c:txPr>
        <c:crossAx val="156133632"/>
        <c:crosses val="autoZero"/>
        <c:crossBetween val="midCat"/>
      </c:valAx>
      <c:valAx>
        <c:axId val="156133632"/>
        <c:scaling>
          <c:orientation val="minMax"/>
          <c:min val="800"/>
        </c:scaling>
        <c:delete val="0"/>
        <c:axPos val="l"/>
        <c:title>
          <c:tx>
            <c:rich>
              <a:bodyPr/>
              <a:lstStyle/>
              <a:p>
                <a:pPr>
                  <a:defRPr sz="1600"/>
                </a:pPr>
                <a:r>
                  <a:rPr lang="pt-BR" sz="1600"/>
                  <a:t>Temperatura</a:t>
                </a:r>
                <a:r>
                  <a:rPr lang="pt-BR" sz="1600" baseline="0"/>
                  <a:t> (K)</a:t>
                </a:r>
                <a:endParaRPr lang="pt-BR" sz="1600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400"/>
            </a:pPr>
            <a:endParaRPr lang="pt-BR"/>
          </a:p>
        </c:txPr>
        <c:crossAx val="156132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56494128232214"/>
          <c:y val="0.12494153986618486"/>
          <c:w val="0.26355048897820732"/>
          <c:h val="0.19412249109113411"/>
        </c:manualLayout>
      </c:layout>
      <c:overlay val="0"/>
      <c:txPr>
        <a:bodyPr/>
        <a:lstStyle/>
        <a:p>
          <a:pPr>
            <a:defRPr sz="1400"/>
          </a:pPr>
          <a:endParaRPr lang="pt-BR"/>
        </a:p>
      </c:txPr>
    </c:legend>
    <c:plotVisOnly val="1"/>
    <c:dispBlanksAs val="gap"/>
    <c:showDLblsOverMax val="0"/>
  </c:chart>
  <c:spPr>
    <a:ln>
      <a:solidFill>
        <a:schemeClr val="bg1"/>
      </a:solidFill>
    </a:ln>
  </c:sp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Teste</a:t>
            </a:r>
            <a:r>
              <a:rPr lang="pt-BR" baseline="0"/>
              <a:t> de independência de malha</a:t>
            </a:r>
          </a:p>
          <a:p>
            <a:pPr>
              <a:defRPr/>
            </a:pPr>
            <a:r>
              <a:rPr lang="pt-BR" baseline="0"/>
              <a:t>t = 800 s, X = 0,50 m</a:t>
            </a:r>
            <a:endParaRPr lang="pt-BR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27150783407763E-2"/>
          <c:y val="0.12001396540694005"/>
          <c:w val="0.87003404549451746"/>
          <c:h val="0.70957789157368756"/>
        </c:manualLayout>
      </c:layout>
      <c:scatterChart>
        <c:scatterStyle val="smoothMarker"/>
        <c:varyColors val="0"/>
        <c:ser>
          <c:idx val="3"/>
          <c:order val="0"/>
          <c:tx>
            <c:strRef>
              <c:f>'Indep Malha  800s_Linhas'!$E$2:$I$2</c:f>
              <c:strCache>
                <c:ptCount val="1"/>
                <c:pt idx="0">
                  <c:v>TDMA with ADI 3x3 - 200s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'Indep Malha  800s_Linhas'!$B$12:$B$14</c:f>
              <c:numCache>
                <c:formatCode>0.0000</c:formatCode>
                <c:ptCount val="3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</c:numCache>
            </c:numRef>
          </c:xVal>
          <c:yVal>
            <c:numRef>
              <c:f>'Indep Malha  800s_Linhas'!$D$12:$D$14</c:f>
              <c:numCache>
                <c:formatCode>0.00</c:formatCode>
                <c:ptCount val="3"/>
                <c:pt idx="0">
                  <c:v>565.57429999999999</c:v>
                </c:pt>
                <c:pt idx="1">
                  <c:v>513.14250000000004</c:v>
                </c:pt>
                <c:pt idx="2">
                  <c:v>684.90530000000001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C7-4945-B6AB-379AF59D31B7}"/>
            </c:ext>
          </c:extLst>
        </c:ser>
        <c:ser>
          <c:idx val="4"/>
          <c:order val="1"/>
          <c:tx>
            <c:strRef>
              <c:f>'Indep Malha  800s_Linhas'!$N$2:$R$2</c:f>
              <c:strCache>
                <c:ptCount val="1"/>
                <c:pt idx="0">
                  <c:v>TDMA with ADI 5x5 - 200s</c:v>
                </c:pt>
              </c:strCache>
            </c:strRef>
          </c:tx>
          <c:spPr>
            <a:ln>
              <a:solidFill>
                <a:schemeClr val="tx1"/>
              </a:solidFill>
              <a:prstDash val="dashDot"/>
            </a:ln>
          </c:spPr>
          <c:marker>
            <c:symbol val="none"/>
          </c:marker>
          <c:xVal>
            <c:numRef>
              <c:f>'Indep Malha  800s_Linhas'!$K$12:$K$16</c:f>
              <c:numCache>
                <c:formatCode>0.0000</c:formatCode>
                <c:ptCount val="5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</c:numCache>
            </c:numRef>
          </c:xVal>
          <c:yVal>
            <c:numRef>
              <c:f>'Indep Malha  800s_Linhas'!$M$12:$M$16</c:f>
              <c:numCache>
                <c:formatCode>0.00</c:formatCode>
                <c:ptCount val="5"/>
                <c:pt idx="0">
                  <c:v>576.83010000000002</c:v>
                </c:pt>
                <c:pt idx="1">
                  <c:v>520.96979999999996</c:v>
                </c:pt>
                <c:pt idx="2">
                  <c:v>520.31899999999996</c:v>
                </c:pt>
                <c:pt idx="3">
                  <c:v>575.58280000000002</c:v>
                </c:pt>
                <c:pt idx="4">
                  <c:v>703.9742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C7-4945-B6AB-379AF59D31B7}"/>
            </c:ext>
          </c:extLst>
        </c:ser>
        <c:ser>
          <c:idx val="0"/>
          <c:order val="2"/>
          <c:tx>
            <c:strRef>
              <c:f>'Indep Malha  800s_Linhas'!$W$2:$AA$2</c:f>
              <c:strCache>
                <c:ptCount val="1"/>
                <c:pt idx="0">
                  <c:v>TDMA with ADI 7x7 - 200s</c:v>
                </c:pt>
              </c:strCache>
            </c:strRef>
          </c:tx>
          <c:marker>
            <c:symbol val="none"/>
          </c:marker>
          <c:xVal>
            <c:numRef>
              <c:f>'Indep Malha  800s_Linhas'!$T$12:$T$18</c:f>
              <c:numCache>
                <c:formatCode>0.0000</c:formatCode>
                <c:ptCount val="7"/>
                <c:pt idx="0">
                  <c:v>0</c:v>
                </c:pt>
                <c:pt idx="1">
                  <c:v>3.3300000000000003E-2</c:v>
                </c:pt>
                <c:pt idx="2">
                  <c:v>6.6699999999999995E-2</c:v>
                </c:pt>
                <c:pt idx="3">
                  <c:v>0.1</c:v>
                </c:pt>
                <c:pt idx="4">
                  <c:v>0.1333</c:v>
                </c:pt>
                <c:pt idx="5">
                  <c:v>0.16669999999999999</c:v>
                </c:pt>
                <c:pt idx="6">
                  <c:v>0.2</c:v>
                </c:pt>
              </c:numCache>
            </c:numRef>
          </c:xVal>
          <c:yVal>
            <c:numRef>
              <c:f>'Indep Malha  800s_Linhas'!$V$12:$V$18</c:f>
              <c:numCache>
                <c:formatCode>0.00</c:formatCode>
                <c:ptCount val="7"/>
                <c:pt idx="0">
                  <c:v>578.95479999999998</c:v>
                </c:pt>
                <c:pt idx="1">
                  <c:v>534.72540000000004</c:v>
                </c:pt>
                <c:pt idx="2">
                  <c:v>516.33019999999999</c:v>
                </c:pt>
                <c:pt idx="3">
                  <c:v>521.85360000000003</c:v>
                </c:pt>
                <c:pt idx="4">
                  <c:v>552.20410000000004</c:v>
                </c:pt>
                <c:pt idx="5">
                  <c:v>611.34190000000001</c:v>
                </c:pt>
                <c:pt idx="6">
                  <c:v>707.09709999999995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EC7-4945-B6AB-379AF59D31B7}"/>
            </c:ext>
          </c:extLst>
        </c:ser>
        <c:ser>
          <c:idx val="5"/>
          <c:order val="3"/>
          <c:tx>
            <c:strRef>
              <c:f>'Indep Malha  800s_Linhas'!$AF$2:$AJ$2</c:f>
              <c:strCache>
                <c:ptCount val="1"/>
                <c:pt idx="0">
                  <c:v>TDMA with ADI 15x15 - 200s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'Indep Malha  800s_Linhas'!$AC$12:$AC$26</c:f>
              <c:numCache>
                <c:formatCode>0.0000</c:formatCode>
                <c:ptCount val="15"/>
                <c:pt idx="0">
                  <c:v>0</c:v>
                </c:pt>
                <c:pt idx="1">
                  <c:v>1.43E-2</c:v>
                </c:pt>
                <c:pt idx="2">
                  <c:v>2.86E-2</c:v>
                </c:pt>
                <c:pt idx="3">
                  <c:v>4.2900000000000001E-2</c:v>
                </c:pt>
                <c:pt idx="4">
                  <c:v>5.7099999999999998E-2</c:v>
                </c:pt>
                <c:pt idx="5">
                  <c:v>7.1400000000000005E-2</c:v>
                </c:pt>
                <c:pt idx="6">
                  <c:v>8.5699999999999998E-2</c:v>
                </c:pt>
                <c:pt idx="7">
                  <c:v>0.1</c:v>
                </c:pt>
                <c:pt idx="8">
                  <c:v>0.1143</c:v>
                </c:pt>
                <c:pt idx="9">
                  <c:v>0.12859999999999999</c:v>
                </c:pt>
                <c:pt idx="10">
                  <c:v>0.1429</c:v>
                </c:pt>
                <c:pt idx="11">
                  <c:v>0.15709999999999999</c:v>
                </c:pt>
                <c:pt idx="12">
                  <c:v>0.1714</c:v>
                </c:pt>
                <c:pt idx="13">
                  <c:v>0.1857</c:v>
                </c:pt>
                <c:pt idx="14">
                  <c:v>0.2</c:v>
                </c:pt>
              </c:numCache>
            </c:numRef>
          </c:xVal>
          <c:yVal>
            <c:numRef>
              <c:f>'Indep Malha  800s_Linhas'!$AE$12:$AE$26</c:f>
              <c:numCache>
                <c:formatCode>General</c:formatCode>
                <c:ptCount val="15"/>
                <c:pt idx="0">
                  <c:v>580.32470000000001</c:v>
                </c:pt>
                <c:pt idx="1">
                  <c:v>557.81359999999995</c:v>
                </c:pt>
                <c:pt idx="2">
                  <c:v>540.49620000000004</c:v>
                </c:pt>
                <c:pt idx="3">
                  <c:v>528.00760000000002</c:v>
                </c:pt>
                <c:pt idx="4">
                  <c:v>520.10019999999997</c:v>
                </c:pt>
                <c:pt idx="5">
                  <c:v>516.62909999999999</c:v>
                </c:pt>
                <c:pt idx="6">
                  <c:v>517.54349999999999</c:v>
                </c:pt>
                <c:pt idx="7">
                  <c:v>522.88279999999997</c:v>
                </c:pt>
                <c:pt idx="8">
                  <c:v>532.77809999999999</c:v>
                </c:pt>
                <c:pt idx="9">
                  <c:v>547.45839999999998</c:v>
                </c:pt>
                <c:pt idx="10">
                  <c:v>567.26179999999999</c:v>
                </c:pt>
                <c:pt idx="11">
                  <c:v>592.64859999999999</c:v>
                </c:pt>
                <c:pt idx="12">
                  <c:v>624.21550000000002</c:v>
                </c:pt>
                <c:pt idx="13">
                  <c:v>662.70209999999997</c:v>
                </c:pt>
                <c:pt idx="14">
                  <c:v>708.97839999999997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EC7-4945-B6AB-379AF59D31B7}"/>
            </c:ext>
          </c:extLst>
        </c:ser>
        <c:ser>
          <c:idx val="1"/>
          <c:order val="4"/>
          <c:tx>
            <c:strRef>
              <c:f>'Indep Malha  800s_Linhas'!$AO$2:$AS$2</c:f>
              <c:strCache>
                <c:ptCount val="1"/>
                <c:pt idx="0">
                  <c:v>TDMA with ADI 31x31 - 200s</c:v>
                </c:pt>
              </c:strCache>
            </c:strRef>
          </c:tx>
          <c:marker>
            <c:symbol val="none"/>
          </c:marker>
          <c:xVal>
            <c:numRef>
              <c:f>'Indep Malha  800s_Linhas'!$AL$12:$AL$42</c:f>
              <c:numCache>
                <c:formatCode>General</c:formatCode>
                <c:ptCount val="31"/>
                <c:pt idx="0">
                  <c:v>0</c:v>
                </c:pt>
                <c:pt idx="1">
                  <c:v>6.7000000000000002E-3</c:v>
                </c:pt>
                <c:pt idx="2">
                  <c:v>1.3299999999999999E-2</c:v>
                </c:pt>
                <c:pt idx="3">
                  <c:v>0.02</c:v>
                </c:pt>
                <c:pt idx="4">
                  <c:v>2.6700000000000002E-2</c:v>
                </c:pt>
                <c:pt idx="5">
                  <c:v>3.3300000000000003E-2</c:v>
                </c:pt>
                <c:pt idx="6">
                  <c:v>0.04</c:v>
                </c:pt>
                <c:pt idx="7">
                  <c:v>4.6699999999999998E-2</c:v>
                </c:pt>
                <c:pt idx="8">
                  <c:v>5.33E-2</c:v>
                </c:pt>
                <c:pt idx="9">
                  <c:v>0.06</c:v>
                </c:pt>
                <c:pt idx="10">
                  <c:v>6.6699999999999995E-2</c:v>
                </c:pt>
                <c:pt idx="11">
                  <c:v>7.3300000000000004E-2</c:v>
                </c:pt>
                <c:pt idx="12">
                  <c:v>0.08</c:v>
                </c:pt>
                <c:pt idx="13">
                  <c:v>8.6699999999999999E-2</c:v>
                </c:pt>
                <c:pt idx="14">
                  <c:v>9.3299999999999994E-2</c:v>
                </c:pt>
                <c:pt idx="15">
                  <c:v>0.1</c:v>
                </c:pt>
                <c:pt idx="16">
                  <c:v>0.1067</c:v>
                </c:pt>
                <c:pt idx="17">
                  <c:v>0.1133</c:v>
                </c:pt>
                <c:pt idx="18">
                  <c:v>0.12</c:v>
                </c:pt>
                <c:pt idx="19">
                  <c:v>0.12670000000000001</c:v>
                </c:pt>
                <c:pt idx="20">
                  <c:v>0.1333</c:v>
                </c:pt>
                <c:pt idx="21">
                  <c:v>0.14000000000000001</c:v>
                </c:pt>
                <c:pt idx="22">
                  <c:v>0.1467</c:v>
                </c:pt>
                <c:pt idx="23">
                  <c:v>0.15329999999999999</c:v>
                </c:pt>
                <c:pt idx="24">
                  <c:v>0.16</c:v>
                </c:pt>
                <c:pt idx="25">
                  <c:v>0.16669999999999999</c:v>
                </c:pt>
                <c:pt idx="26">
                  <c:v>0.17330000000000001</c:v>
                </c:pt>
                <c:pt idx="27">
                  <c:v>0.18</c:v>
                </c:pt>
                <c:pt idx="28">
                  <c:v>0.1867</c:v>
                </c:pt>
                <c:pt idx="29">
                  <c:v>0.1933</c:v>
                </c:pt>
                <c:pt idx="30">
                  <c:v>0.2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CEC7-4945-B6AB-379AF59D3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32096"/>
        <c:axId val="156133632"/>
        <c:extLst/>
      </c:scatterChart>
      <c:valAx>
        <c:axId val="156132096"/>
        <c:scaling>
          <c:orientation val="minMax"/>
          <c:max val="0.2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pt-BR" sz="1400"/>
                  <a:t>Y(m)</a:t>
                </a:r>
              </a:p>
            </c:rich>
          </c:tx>
          <c:layout>
            <c:manualLayout>
              <c:xMode val="edge"/>
              <c:yMode val="edge"/>
              <c:x val="0.48566930177243439"/>
              <c:y val="0.92165299998649475"/>
            </c:manualLayout>
          </c:layout>
          <c:overlay val="0"/>
        </c:title>
        <c:numFmt formatCode="0.0000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400"/>
            </a:pPr>
            <a:endParaRPr lang="pt-BR"/>
          </a:p>
        </c:txPr>
        <c:crossAx val="156133632"/>
        <c:crosses val="autoZero"/>
        <c:crossBetween val="midCat"/>
      </c:valAx>
      <c:valAx>
        <c:axId val="156133632"/>
        <c:scaling>
          <c:orientation val="minMax"/>
          <c:min val="500"/>
        </c:scaling>
        <c:delete val="0"/>
        <c:axPos val="l"/>
        <c:title>
          <c:tx>
            <c:rich>
              <a:bodyPr/>
              <a:lstStyle/>
              <a:p>
                <a:pPr>
                  <a:defRPr sz="1600"/>
                </a:pPr>
                <a:r>
                  <a:rPr lang="pt-BR" sz="1600"/>
                  <a:t>Temperatura</a:t>
                </a:r>
                <a:r>
                  <a:rPr lang="pt-BR" sz="1600" baseline="0"/>
                  <a:t> (K)</a:t>
                </a:r>
                <a:endParaRPr lang="pt-BR" sz="1600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400"/>
            </a:pPr>
            <a:endParaRPr lang="pt-BR"/>
          </a:p>
        </c:txPr>
        <c:crossAx val="156132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0982299333670356"/>
          <c:y val="0.12494153986618486"/>
          <c:w val="0.31646930027702463"/>
          <c:h val="0.24828246002577331"/>
        </c:manualLayout>
      </c:layout>
      <c:overlay val="0"/>
      <c:txPr>
        <a:bodyPr/>
        <a:lstStyle/>
        <a:p>
          <a:pPr>
            <a:defRPr sz="1400"/>
          </a:pPr>
          <a:endParaRPr lang="pt-BR"/>
        </a:p>
      </c:txPr>
    </c:legend>
    <c:plotVisOnly val="1"/>
    <c:dispBlanksAs val="gap"/>
    <c:showDLblsOverMax val="0"/>
  </c:chart>
  <c:spPr>
    <a:ln>
      <a:solidFill>
        <a:schemeClr val="bg1"/>
      </a:solidFill>
    </a:ln>
  </c:sp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Teste</a:t>
            </a:r>
            <a:r>
              <a:rPr lang="pt-BR" baseline="0"/>
              <a:t> de independência de malha</a:t>
            </a:r>
          </a:p>
          <a:p>
            <a:pPr>
              <a:defRPr/>
            </a:pPr>
            <a:r>
              <a:rPr lang="pt-BR" baseline="0"/>
              <a:t>t = 800 s, Y = 0,10 m</a:t>
            </a:r>
            <a:endParaRPr lang="pt-BR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27150783407763E-2"/>
          <c:y val="0.12001396540694005"/>
          <c:w val="0.87003404549451746"/>
          <c:h val="0.70957789157368756"/>
        </c:manualLayout>
      </c:layout>
      <c:scatterChart>
        <c:scatterStyle val="smoothMarker"/>
        <c:varyColors val="0"/>
        <c:ser>
          <c:idx val="0"/>
          <c:order val="3"/>
          <c:tx>
            <c:strRef>
              <c:f>'Indep Malha  800s_Linhas'!$AF$2:$AJ$2</c:f>
              <c:strCache>
                <c:ptCount val="1"/>
                <c:pt idx="0">
                  <c:v>TDMA with ADI 15x15 - 200s</c:v>
                </c:pt>
              </c:strCache>
            </c:strRef>
          </c:tx>
          <c:marker>
            <c:symbol val="none"/>
          </c:marker>
          <c:xVal>
            <c:numRef>
              <c:f>'Indep Malha  800s_Linhas'!$AG$12:$AG$26</c:f>
              <c:numCache>
                <c:formatCode>General</c:formatCode>
                <c:ptCount val="15"/>
                <c:pt idx="0">
                  <c:v>0</c:v>
                </c:pt>
                <c:pt idx="1">
                  <c:v>7.1400000000000005E-2</c:v>
                </c:pt>
                <c:pt idx="2">
                  <c:v>0.1429</c:v>
                </c:pt>
                <c:pt idx="3">
                  <c:v>0.21429999999999999</c:v>
                </c:pt>
                <c:pt idx="4">
                  <c:v>0.28570000000000001</c:v>
                </c:pt>
                <c:pt idx="5">
                  <c:v>0.35709999999999997</c:v>
                </c:pt>
                <c:pt idx="6">
                  <c:v>0.42859999999999998</c:v>
                </c:pt>
                <c:pt idx="7">
                  <c:v>0.5</c:v>
                </c:pt>
                <c:pt idx="8">
                  <c:v>0.57140000000000002</c:v>
                </c:pt>
                <c:pt idx="9">
                  <c:v>0.64290000000000003</c:v>
                </c:pt>
                <c:pt idx="10">
                  <c:v>0.71430000000000005</c:v>
                </c:pt>
                <c:pt idx="11">
                  <c:v>0.78569999999999995</c:v>
                </c:pt>
                <c:pt idx="12">
                  <c:v>0.85709999999999997</c:v>
                </c:pt>
                <c:pt idx="13">
                  <c:v>0.92859999999999998</c:v>
                </c:pt>
                <c:pt idx="14">
                  <c:v>1</c:v>
                </c:pt>
              </c:numCache>
            </c:numRef>
          </c:xVal>
          <c:yVal>
            <c:numRef>
              <c:f>'Indep Malha  800s_Linhas'!$AI$12:$AI$26</c:f>
              <c:numCache>
                <c:formatCode>General</c:formatCode>
                <c:ptCount val="15"/>
                <c:pt idx="0">
                  <c:v>711.23680000000002</c:v>
                </c:pt>
                <c:pt idx="1">
                  <c:v>601.86170000000004</c:v>
                </c:pt>
                <c:pt idx="2">
                  <c:v>554.92290000000003</c:v>
                </c:pt>
                <c:pt idx="3">
                  <c:v>535.2654</c:v>
                </c:pt>
                <c:pt idx="4">
                  <c:v>527.32860000000005</c:v>
                </c:pt>
                <c:pt idx="5">
                  <c:v>524.25980000000004</c:v>
                </c:pt>
                <c:pt idx="6">
                  <c:v>523.15440000000001</c:v>
                </c:pt>
                <c:pt idx="7">
                  <c:v>522.88279999999997</c:v>
                </c:pt>
                <c:pt idx="8">
                  <c:v>523.15440000000001</c:v>
                </c:pt>
                <c:pt idx="9">
                  <c:v>524.25959999999998</c:v>
                </c:pt>
                <c:pt idx="10">
                  <c:v>527.32809999999995</c:v>
                </c:pt>
                <c:pt idx="11">
                  <c:v>535.26430000000005</c:v>
                </c:pt>
                <c:pt idx="12">
                  <c:v>554.92070000000001</c:v>
                </c:pt>
                <c:pt idx="13">
                  <c:v>601.85969999999998</c:v>
                </c:pt>
                <c:pt idx="14">
                  <c:v>711.23500000000001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C40-4C07-9874-0AE759ABFE10}"/>
            </c:ext>
          </c:extLst>
        </c:ser>
        <c:ser>
          <c:idx val="1"/>
          <c:order val="4"/>
          <c:tx>
            <c:strRef>
              <c:f>'Indep Malha  800s_Linhas'!$AO$2:$AS$2</c:f>
              <c:strCache>
                <c:ptCount val="1"/>
                <c:pt idx="0">
                  <c:v>TDMA with ADI 31x31 - 200s</c:v>
                </c:pt>
              </c:strCache>
            </c:strRef>
          </c:tx>
          <c:marker>
            <c:symbol val="none"/>
          </c:marker>
          <c:xVal>
            <c:numRef>
              <c:f>'Indep Malha  800s_Linhas'!$AP$12:$AP$42</c:f>
              <c:numCache>
                <c:formatCode>General</c:formatCode>
                <c:ptCount val="31"/>
                <c:pt idx="0">
                  <c:v>0</c:v>
                </c:pt>
                <c:pt idx="1">
                  <c:v>3.3300000000000003E-2</c:v>
                </c:pt>
                <c:pt idx="2">
                  <c:v>6.6699999999999995E-2</c:v>
                </c:pt>
                <c:pt idx="3">
                  <c:v>0.1</c:v>
                </c:pt>
                <c:pt idx="4">
                  <c:v>0.1333</c:v>
                </c:pt>
                <c:pt idx="5">
                  <c:v>0.16669999999999999</c:v>
                </c:pt>
                <c:pt idx="6">
                  <c:v>0.2</c:v>
                </c:pt>
                <c:pt idx="7">
                  <c:v>0.23330000000000001</c:v>
                </c:pt>
                <c:pt idx="8">
                  <c:v>0.26669999999999999</c:v>
                </c:pt>
                <c:pt idx="9">
                  <c:v>0.3</c:v>
                </c:pt>
                <c:pt idx="10">
                  <c:v>0.33329999999999999</c:v>
                </c:pt>
                <c:pt idx="11">
                  <c:v>0.36670000000000003</c:v>
                </c:pt>
                <c:pt idx="12">
                  <c:v>0.4</c:v>
                </c:pt>
                <c:pt idx="13">
                  <c:v>0.43330000000000002</c:v>
                </c:pt>
                <c:pt idx="14">
                  <c:v>0.4667</c:v>
                </c:pt>
                <c:pt idx="15">
                  <c:v>0.5</c:v>
                </c:pt>
                <c:pt idx="16">
                  <c:v>0.5333</c:v>
                </c:pt>
                <c:pt idx="17">
                  <c:v>0.56669999999999998</c:v>
                </c:pt>
                <c:pt idx="18">
                  <c:v>0.6</c:v>
                </c:pt>
                <c:pt idx="19">
                  <c:v>0.63329999999999997</c:v>
                </c:pt>
                <c:pt idx="20">
                  <c:v>0.66669999999999996</c:v>
                </c:pt>
                <c:pt idx="21">
                  <c:v>0.7</c:v>
                </c:pt>
                <c:pt idx="22">
                  <c:v>0.73329999999999995</c:v>
                </c:pt>
                <c:pt idx="23">
                  <c:v>0.76670000000000005</c:v>
                </c:pt>
                <c:pt idx="24">
                  <c:v>0.8</c:v>
                </c:pt>
                <c:pt idx="25">
                  <c:v>0.83330000000000004</c:v>
                </c:pt>
                <c:pt idx="26">
                  <c:v>0.86670000000000003</c:v>
                </c:pt>
                <c:pt idx="27">
                  <c:v>0.9</c:v>
                </c:pt>
                <c:pt idx="28">
                  <c:v>0.93330000000000002</c:v>
                </c:pt>
                <c:pt idx="29">
                  <c:v>0.9667</c:v>
                </c:pt>
                <c:pt idx="30">
                  <c:v>1</c:v>
                </c:pt>
              </c:numCache>
            </c:numRef>
          </c:xVal>
          <c:yVal>
            <c:numRef>
              <c:f>'Indep Malha  800s_Linhas'!$AR$12:$AR$42</c:f>
              <c:numCache>
                <c:formatCode>General</c:formatCode>
                <c:ptCount val="31"/>
                <c:pt idx="0">
                  <c:v>721.34879999999998</c:v>
                </c:pt>
                <c:pt idx="1">
                  <c:v>655.77239999999995</c:v>
                </c:pt>
                <c:pt idx="2">
                  <c:v>611.03399999999999</c:v>
                </c:pt>
                <c:pt idx="3">
                  <c:v>580.81650000000002</c:v>
                </c:pt>
                <c:pt idx="4">
                  <c:v>560.58029999999997</c:v>
                </c:pt>
                <c:pt idx="5">
                  <c:v>547.15030000000002</c:v>
                </c:pt>
                <c:pt idx="6">
                  <c:v>538.32510000000002</c:v>
                </c:pt>
                <c:pt idx="7">
                  <c:v>532.58680000000004</c:v>
                </c:pt>
                <c:pt idx="8">
                  <c:v>528.8963</c:v>
                </c:pt>
                <c:pt idx="9">
                  <c:v>526.54920000000004</c:v>
                </c:pt>
                <c:pt idx="10">
                  <c:v>525.07360000000006</c:v>
                </c:pt>
                <c:pt idx="11">
                  <c:v>524.15859999999998</c:v>
                </c:pt>
                <c:pt idx="12">
                  <c:v>523.6028</c:v>
                </c:pt>
                <c:pt idx="13">
                  <c:v>523.27919999999995</c:v>
                </c:pt>
                <c:pt idx="14">
                  <c:v>523.11170000000004</c:v>
                </c:pt>
                <c:pt idx="15">
                  <c:v>523.05999999999995</c:v>
                </c:pt>
                <c:pt idx="16">
                  <c:v>523.1114</c:v>
                </c:pt>
                <c:pt idx="17">
                  <c:v>523.27859999999998</c:v>
                </c:pt>
                <c:pt idx="18">
                  <c:v>523.60170000000005</c:v>
                </c:pt>
                <c:pt idx="19">
                  <c:v>524.15700000000004</c:v>
                </c:pt>
                <c:pt idx="20">
                  <c:v>525.07129999999995</c:v>
                </c:pt>
                <c:pt idx="21">
                  <c:v>526.54600000000005</c:v>
                </c:pt>
                <c:pt idx="22">
                  <c:v>528.89179999999999</c:v>
                </c:pt>
                <c:pt idx="23">
                  <c:v>532.5806</c:v>
                </c:pt>
                <c:pt idx="24">
                  <c:v>538.31659999999999</c:v>
                </c:pt>
                <c:pt idx="25">
                  <c:v>547.13879999999995</c:v>
                </c:pt>
                <c:pt idx="26">
                  <c:v>560.56479999999999</c:v>
                </c:pt>
                <c:pt idx="27">
                  <c:v>580.79589999999996</c:v>
                </c:pt>
                <c:pt idx="28">
                  <c:v>611.00729999999999</c:v>
                </c:pt>
                <c:pt idx="29">
                  <c:v>655.74400000000003</c:v>
                </c:pt>
                <c:pt idx="30">
                  <c:v>721.32219999999995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C40-4C07-9874-0AE759ABF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32096"/>
        <c:axId val="15613363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0"/>
                <c:tx>
                  <c:strRef>
                    <c:extLst>
                      <c:ext uri="{02D57815-91ED-43cb-92C2-25804820EDAC}">
                        <c15:formulaRef>
                          <c15:sqref>'Indep Malha  800s_Linhas'!$E$2:$I$2</c15:sqref>
                        </c15:formulaRef>
                      </c:ext>
                    </c:extLst>
                    <c:strCache>
                      <c:ptCount val="1"/>
                      <c:pt idx="0">
                        <c:v>TDMA with ADI 3x3 - 200s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'Indep Malha  800s_Linhas'!$F$12:$F$14</c15:sqref>
                        </c15:formulaRef>
                      </c:ext>
                    </c:extLst>
                    <c:numCache>
                      <c:formatCode>0.0000</c:formatCode>
                      <c:ptCount val="3"/>
                      <c:pt idx="0">
                        <c:v>0</c:v>
                      </c:pt>
                      <c:pt idx="1">
                        <c:v>0.5</c:v>
                      </c:pt>
                      <c:pt idx="2">
                        <c:v>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'Indep Malha  800s_Linhas'!$H$12:$H$14</c15:sqref>
                        </c15:formulaRef>
                      </c:ext>
                    </c:extLst>
                    <c:numCache>
                      <c:formatCode>0.00</c:formatCode>
                      <c:ptCount val="3"/>
                      <c:pt idx="0">
                        <c:v>578.63900000000001</c:v>
                      </c:pt>
                      <c:pt idx="1">
                        <c:v>513.14250000000004</c:v>
                      </c:pt>
                      <c:pt idx="2">
                        <c:v>578.63909999999998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DC40-4C07-9874-0AE759ABFE10}"/>
                  </c:ext>
                </c:extLst>
              </c15:ser>
            </c15:filteredScatterSeries>
            <c15:filteredScatterSeries>
              <c15:ser>
                <c:idx val="4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'Indep Malha  800s_Linhas'!$N$2:$R$2</c15:sqref>
                        </c15:formulaRef>
                      </c:ext>
                    </c:extLst>
                    <c:strCache>
                      <c:ptCount val="1"/>
                      <c:pt idx="0">
                        <c:v>TDMA with ADI 5x5 - 200s</c:v>
                      </c:pt>
                    </c:strCache>
                  </c:strRef>
                </c:tx>
                <c:spPr>
                  <a:ln>
                    <a:solidFill>
                      <a:schemeClr val="tx1"/>
                    </a:solidFill>
                    <a:prstDash val="dashDot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'Indep Malha  800s_Linhas'!$O$12:$O$16</c15:sqref>
                        </c15:formulaRef>
                      </c:ext>
                    </c:extLst>
                    <c:numCache>
                      <c:formatCode>0.0000</c:formatCode>
                      <c:ptCount val="5"/>
                      <c:pt idx="0">
                        <c:v>0</c:v>
                      </c:pt>
                      <c:pt idx="1">
                        <c:v>0.25</c:v>
                      </c:pt>
                      <c:pt idx="2">
                        <c:v>0.5</c:v>
                      </c:pt>
                      <c:pt idx="3">
                        <c:v>0.75</c:v>
                      </c:pt>
                      <c:pt idx="4">
                        <c:v>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'Indep Malha  800s_Linhas'!$Q$12:$Q$16</c15:sqref>
                        </c15:formulaRef>
                      </c:ext>
                    </c:extLst>
                    <c:numCache>
                      <c:formatCode>0.00</c:formatCode>
                      <c:ptCount val="5"/>
                      <c:pt idx="0">
                        <c:v>635.44179999999994</c:v>
                      </c:pt>
                      <c:pt idx="1">
                        <c:v>528.2971</c:v>
                      </c:pt>
                      <c:pt idx="2">
                        <c:v>520.31899999999996</c:v>
                      </c:pt>
                      <c:pt idx="3">
                        <c:v>528.2971</c:v>
                      </c:pt>
                      <c:pt idx="4">
                        <c:v>635.44179999999994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DC40-4C07-9874-0AE759ABFE10}"/>
                  </c:ext>
                </c:extLst>
              </c15:ser>
            </c15:filteredScatterSeries>
            <c15:filteredScatterSeries>
              <c15:ser>
                <c:idx val="5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'Indep Malha  800s_Linhas'!$W$2:$AA$2</c15:sqref>
                        </c15:formulaRef>
                      </c:ext>
                    </c:extLst>
                    <c:strCache>
                      <c:ptCount val="1"/>
                      <c:pt idx="0">
                        <c:v>TDMA with ADI 7x7 - 200s</c:v>
                      </c:pt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'Indep Malha  800s_Linhas'!$X$12:$X$18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0.16669999999999999</c:v>
                      </c:pt>
                      <c:pt idx="2">
                        <c:v>0.33329999999999999</c:v>
                      </c:pt>
                      <c:pt idx="3">
                        <c:v>0.5</c:v>
                      </c:pt>
                      <c:pt idx="4">
                        <c:v>0.66669999999999996</c:v>
                      </c:pt>
                      <c:pt idx="5">
                        <c:v>0.83330000000000004</c:v>
                      </c:pt>
                      <c:pt idx="6">
                        <c:v>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'Indep Malha  800s_Linhas'!$Z$12:$Z$18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668.3424</c:v>
                      </c:pt>
                      <c:pt idx="1">
                        <c:v>543.63109999999995</c:v>
                      </c:pt>
                      <c:pt idx="2">
                        <c:v>524.26919999999996</c:v>
                      </c:pt>
                      <c:pt idx="3">
                        <c:v>521.85360000000003</c:v>
                      </c:pt>
                      <c:pt idx="4">
                        <c:v>524.26919999999996</c:v>
                      </c:pt>
                      <c:pt idx="5">
                        <c:v>543.63109999999995</c:v>
                      </c:pt>
                      <c:pt idx="6">
                        <c:v>668.3424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DC40-4C07-9874-0AE759ABFE10}"/>
                  </c:ext>
                </c:extLst>
              </c15:ser>
            </c15:filteredScatterSeries>
          </c:ext>
        </c:extLst>
      </c:scatterChart>
      <c:valAx>
        <c:axId val="156132096"/>
        <c:scaling>
          <c:orientation val="minMax"/>
          <c:max val="1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pt-BR" sz="1400"/>
                  <a:t>X</a:t>
                </a:r>
                <a:r>
                  <a:rPr lang="pt-BR" sz="1400" baseline="0"/>
                  <a:t> </a:t>
                </a:r>
                <a:r>
                  <a:rPr lang="pt-BR" sz="1400"/>
                  <a:t>(m)</a:t>
                </a:r>
              </a:p>
            </c:rich>
          </c:tx>
          <c:layout>
            <c:manualLayout>
              <c:xMode val="edge"/>
              <c:yMode val="edge"/>
              <c:x val="0.48566930177243439"/>
              <c:y val="0.9216529999864947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400"/>
            </a:pPr>
            <a:endParaRPr lang="pt-BR"/>
          </a:p>
        </c:txPr>
        <c:crossAx val="156133632"/>
        <c:crosses val="autoZero"/>
        <c:crossBetween val="midCat"/>
      </c:valAx>
      <c:valAx>
        <c:axId val="156133632"/>
        <c:scaling>
          <c:orientation val="minMax"/>
          <c:min val="500"/>
        </c:scaling>
        <c:delete val="0"/>
        <c:axPos val="l"/>
        <c:title>
          <c:tx>
            <c:rich>
              <a:bodyPr/>
              <a:lstStyle/>
              <a:p>
                <a:pPr>
                  <a:defRPr sz="1600"/>
                </a:pPr>
                <a:r>
                  <a:rPr lang="pt-BR" sz="1600"/>
                  <a:t>Temperatura</a:t>
                </a:r>
                <a:r>
                  <a:rPr lang="pt-BR" sz="1600" baseline="0"/>
                  <a:t> (K)</a:t>
                </a:r>
                <a:endParaRPr lang="pt-BR" sz="1600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400"/>
            </a:pPr>
            <a:endParaRPr lang="pt-BR"/>
          </a:p>
        </c:txPr>
        <c:crossAx val="156132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631735418820641"/>
          <c:y val="0.14188143176099677"/>
          <c:w val="0.25365897679913368"/>
          <c:h val="9.7061245545567054E-2"/>
        </c:manualLayout>
      </c:layout>
      <c:overlay val="0"/>
      <c:txPr>
        <a:bodyPr/>
        <a:lstStyle/>
        <a:p>
          <a:pPr>
            <a:defRPr sz="1400"/>
          </a:pPr>
          <a:endParaRPr lang="pt-BR"/>
        </a:p>
      </c:txPr>
    </c:legend>
    <c:plotVisOnly val="1"/>
    <c:dispBlanksAs val="gap"/>
    <c:showDLblsOverMax val="0"/>
  </c:chart>
  <c:spPr>
    <a:ln>
      <a:solidFill>
        <a:schemeClr val="bg1"/>
      </a:solidFill>
    </a:ln>
  </c:sp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"/>
  <sheetViews>
    <sheetView zoomScale="12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2"/>
  <sheetViews>
    <sheetView zoomScale="12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3"/>
  <sheetViews>
    <sheetView zoomScale="12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4"/>
  <sheetViews>
    <sheetView zoomScale="12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Gráf5"/>
  <sheetViews>
    <sheetView zoomScale="12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Gráf6"/>
  <sheetViews>
    <sheetView zoomScale="12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Gráf7"/>
  <sheetViews>
    <sheetView zoomScale="12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Gráf8"/>
  <sheetViews>
    <sheetView zoomScale="12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Gráf9"/>
  <sheetViews>
    <sheetView zoomScale="12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Gráfico5"/>
  <sheetViews>
    <sheetView zoomScale="12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Gráfico6"/>
  <sheetViews>
    <sheetView zoomScale="12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Gráfico7"/>
  <sheetViews>
    <sheetView zoomScale="12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Gráfico8"/>
  <sheetViews>
    <sheetView tabSelected="1" zoomScale="12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7620</xdr:rowOff>
    </xdr:from>
    <xdr:to>
      <xdr:col>26</xdr:col>
      <xdr:colOff>76200</xdr:colOff>
      <xdr:row>35</xdr:row>
      <xdr:rowOff>137160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23D69F4-56DA-4121-902F-2307A50486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571500</xdr:colOff>
      <xdr:row>1</xdr:row>
      <xdr:rowOff>129540</xdr:rowOff>
    </xdr:from>
    <xdr:to>
      <xdr:col>19</xdr:col>
      <xdr:colOff>642540</xdr:colOff>
      <xdr:row>24</xdr:row>
      <xdr:rowOff>105960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AFEEE2-C1A2-47BB-B245-C1BC11FAFF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464820</xdr:colOff>
      <xdr:row>1</xdr:row>
      <xdr:rowOff>60960</xdr:rowOff>
    </xdr:from>
    <xdr:to>
      <xdr:col>19</xdr:col>
      <xdr:colOff>535860</xdr:colOff>
      <xdr:row>24</xdr:row>
      <xdr:rowOff>37380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73BD2E7-8879-465F-8245-F59F034C9D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629468" cy="599767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29468" cy="599767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29468" cy="599767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29468" cy="599767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629468" cy="599767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29468" cy="599767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629468" cy="599767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29468" cy="599767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629468" cy="599767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358140</xdr:colOff>
      <xdr:row>1</xdr:row>
      <xdr:rowOff>0</xdr:rowOff>
    </xdr:from>
    <xdr:to>
      <xdr:col>6</xdr:col>
      <xdr:colOff>152832</xdr:colOff>
      <xdr:row>9</xdr:row>
      <xdr:rowOff>138</xdr:rowOff>
    </xdr:to>
    <xdr:pic>
      <xdr:nvPicPr>
        <xdr:cNvPr id="1025" name="Picture 1">
          <a:extLst>
            <a:ext uri="{FF2B5EF4-FFF2-40B4-BE49-F238E27FC236}">
              <a16:creationId xmlns:a16="http://schemas.microsoft.com/office/drawing/2014/main" id="{00000000-0008-0000-09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8140" y="0"/>
          <a:ext cx="4976292" cy="1592718"/>
        </a:xfrm>
        <a:prstGeom prst="rect">
          <a:avLst/>
        </a:prstGeom>
        <a:ln>
          <a:solidFill>
            <a:schemeClr val="tx1"/>
          </a:solidFill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629468" cy="599767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629468" cy="599767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88D6D74-6CB0-4824-9D6E-58D1B9DB78D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629468" cy="599767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D93747F-3253-4137-A357-1F16EA1A550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629468" cy="5997677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D671B36-5ECB-4260-950D-439F619398F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atrix%20Temp%201940s%207x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sheetDataSet>
      <sheetData sheetId="0">
        <row r="78">
          <cell r="P78">
            <v>976.26220000000001</v>
          </cell>
        </row>
        <row r="79">
          <cell r="P79">
            <v>882.67669999999998</v>
          </cell>
        </row>
        <row r="80">
          <cell r="P80">
            <v>836.45050000000003</v>
          </cell>
        </row>
        <row r="81">
          <cell r="P81">
            <v>831.31600000000003</v>
          </cell>
        </row>
        <row r="82">
          <cell r="P82">
            <v>865.75229999999999</v>
          </cell>
        </row>
        <row r="83">
          <cell r="P83">
            <v>942.82719999999995</v>
          </cell>
        </row>
        <row r="84">
          <cell r="P84">
            <v>1070.6563000000001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2:I78"/>
  <sheetViews>
    <sheetView showGridLines="0" workbookViewId="0">
      <selection activeCell="AB15" sqref="AB15"/>
    </sheetView>
  </sheetViews>
  <sheetFormatPr defaultRowHeight="14.4" x14ac:dyDescent="0.3"/>
  <cols>
    <col min="1" max="1" width="5.69921875" style="45" customWidth="1"/>
    <col min="2" max="2" width="8.796875" style="46"/>
    <col min="3" max="3" width="8.59765625" style="51" bestFit="1" customWidth="1"/>
    <col min="4" max="4" width="5.69921875" style="46" customWidth="1"/>
    <col min="5" max="5" width="8.796875" style="46"/>
    <col min="6" max="6" width="8.59765625" style="51" bestFit="1" customWidth="1"/>
    <col min="7" max="7" width="5.69921875" style="46" customWidth="1"/>
    <col min="8" max="8" width="8.796875" style="46"/>
    <col min="9" max="9" width="8.796875" style="51"/>
    <col min="10" max="10" width="5.69921875" style="45" customWidth="1"/>
    <col min="11" max="16384" width="8.796875" style="45"/>
  </cols>
  <sheetData>
    <row r="2" spans="2:9" x14ac:dyDescent="0.3">
      <c r="B2" s="52" t="s">
        <v>30</v>
      </c>
      <c r="C2" s="52"/>
      <c r="E2" s="52" t="s">
        <v>31</v>
      </c>
      <c r="F2" s="52"/>
      <c r="H2" s="52" t="s">
        <v>32</v>
      </c>
      <c r="I2" s="52"/>
    </row>
    <row r="3" spans="2:9" x14ac:dyDescent="0.3">
      <c r="B3" s="47" t="s">
        <v>24</v>
      </c>
      <c r="C3" s="49" t="s">
        <v>29</v>
      </c>
      <c r="E3" s="47" t="s">
        <v>24</v>
      </c>
      <c r="F3" s="49" t="s">
        <v>29</v>
      </c>
      <c r="H3" s="47" t="s">
        <v>24</v>
      </c>
      <c r="I3" s="49" t="s">
        <v>29</v>
      </c>
    </row>
    <row r="4" spans="2:9" x14ac:dyDescent="0.3">
      <c r="B4" s="48">
        <v>300</v>
      </c>
      <c r="C4" s="50">
        <f>1000*(2.368-0.01492*B4+0.00004107*B4^2-0.00000004696*B4^3+0.00000000001953*B4^4)</f>
        <v>478.57299999999992</v>
      </c>
      <c r="E4" s="48">
        <v>1033</v>
      </c>
      <c r="F4" s="50">
        <f>1000*(7.802-0.005278*E4-0.000003679*E4^2+0.000000001388*E4^3+0.000000000001031*E4^4)</f>
        <v>1127.9800264285511</v>
      </c>
      <c r="H4" s="48">
        <v>1200</v>
      </c>
      <c r="I4" s="50">
        <v>703</v>
      </c>
    </row>
    <row r="5" spans="2:9" x14ac:dyDescent="0.3">
      <c r="B5" s="48">
        <f>B4+10</f>
        <v>310</v>
      </c>
      <c r="C5" s="50">
        <f>1000*(2.368-0.01492*B5+0.00004107*B5^2-0.00000004696*B5^3+0.00000000001953*B5^4)</f>
        <v>471.00529130000024</v>
      </c>
      <c r="E5" s="48">
        <v>1040</v>
      </c>
      <c r="F5" s="50">
        <f>1000*(7.802-0.005278*E5-0.000003679*E5^2+0.000000001388*E5^3+0.000000000001031*E5^4)</f>
        <v>1101.1090073600001</v>
      </c>
      <c r="H5" s="48">
        <f>H4+10</f>
        <v>1210</v>
      </c>
      <c r="I5" s="50">
        <v>703</v>
      </c>
    </row>
    <row r="6" spans="2:9" x14ac:dyDescent="0.3">
      <c r="B6" s="48">
        <f>B5+10</f>
        <v>320</v>
      </c>
      <c r="C6" s="50">
        <f>1000*(2.368-0.01492*B6+0.00004107*B6^2-0.00000004696*B6^3+0.00000000001953*B6^4)</f>
        <v>465.16961279999947</v>
      </c>
      <c r="E6" s="48">
        <f>E5+10</f>
        <v>1050</v>
      </c>
      <c r="F6" s="50">
        <f>1000*(7.802-0.005278*E6-0.000003679*E6^2+0.000000001388*E6^3+0.000000000001031*E6^4)</f>
        <v>1063.9729437499993</v>
      </c>
      <c r="H6" s="48">
        <f>H5+10</f>
        <v>1220</v>
      </c>
      <c r="I6" s="50">
        <v>703</v>
      </c>
    </row>
    <row r="7" spans="2:9" x14ac:dyDescent="0.3">
      <c r="B7" s="48">
        <f>B6+10</f>
        <v>330</v>
      </c>
      <c r="C7" s="50">
        <f>1000*(2.368-0.01492*B7+0.00004107*B7^2-0.00000004696*B7^3+0.00000000001953*B7^4)</f>
        <v>460.93185130000029</v>
      </c>
      <c r="E7" s="48">
        <f>E6+10</f>
        <v>1060</v>
      </c>
      <c r="F7" s="50">
        <f>1000*(7.802-0.005278*E7-0.000003679*E7^2+0.000000001388*E7^3+0.000000000001031*E7^4)</f>
        <v>1028.3395537599997</v>
      </c>
      <c r="H7" s="48">
        <f>H6+10</f>
        <v>1230</v>
      </c>
      <c r="I7" s="50">
        <v>703</v>
      </c>
    </row>
    <row r="8" spans="2:9" x14ac:dyDescent="0.3">
      <c r="B8" s="48">
        <f>B7+10</f>
        <v>340</v>
      </c>
      <c r="C8" s="50">
        <f>1000*(2.368-0.01492*B8+0.00004107*B8^2-0.00000004696*B8^3+0.00000000001953*B8^4)</f>
        <v>458.16258079999972</v>
      </c>
      <c r="E8" s="48">
        <f>E7+10</f>
        <v>1070</v>
      </c>
      <c r="F8" s="50">
        <f>1000*(7.802-0.005278*E8-0.000003679*E8^2+0.000000001388*E8^3+0.000000000001031*E8^4)</f>
        <v>994.24327030999996</v>
      </c>
      <c r="H8" s="48">
        <f>H7+10</f>
        <v>1240</v>
      </c>
      <c r="I8" s="50">
        <v>703</v>
      </c>
    </row>
    <row r="9" spans="2:9" x14ac:dyDescent="0.3">
      <c r="B9" s="48">
        <f>B8+10</f>
        <v>350</v>
      </c>
      <c r="C9" s="50">
        <f>1000*(2.368-0.01492*B9+0.00004107*B9^2-0.00000004696*B9^3+0.00000000001953*B9^4)</f>
        <v>456.73706249999998</v>
      </c>
      <c r="E9" s="48">
        <f>E8+10</f>
        <v>1080</v>
      </c>
      <c r="F9" s="50">
        <f>1000*(7.802-0.005278*E9-0.000003679*E9^2+0.000000001388*E9^3+0.000000000001031*E9^4)</f>
        <v>961.71877375999998</v>
      </c>
      <c r="H9" s="48">
        <f>H8+10</f>
        <v>1250</v>
      </c>
      <c r="I9" s="50">
        <v>703</v>
      </c>
    </row>
    <row r="10" spans="2:9" x14ac:dyDescent="0.3">
      <c r="B10" s="48">
        <f>B9+10</f>
        <v>360</v>
      </c>
      <c r="C10" s="50">
        <f>1000*(2.368-0.01492*B10+0.00004107*B10^2-0.00000004696*B10^3+0.00000000001953*B10^4)</f>
        <v>456.53524479999965</v>
      </c>
      <c r="E10" s="48">
        <f>E9+10</f>
        <v>1090</v>
      </c>
      <c r="F10" s="50">
        <f>1000*(7.802-0.005278*E10-0.000003679*E10^2+0.000000001388*E10^3+0.000000000001031*E10^4)</f>
        <v>930.80099191000068</v>
      </c>
      <c r="H10" s="48">
        <f>H9+10</f>
        <v>1260</v>
      </c>
      <c r="I10" s="50">
        <v>703</v>
      </c>
    </row>
    <row r="11" spans="2:9" x14ac:dyDescent="0.3">
      <c r="B11" s="48">
        <f>B10+10</f>
        <v>370</v>
      </c>
      <c r="C11" s="50">
        <f>1000*(2.368-0.01492*B11+0.00004107*B11^2-0.00000004696*B11^3+0.00000000001953*B11^4)</f>
        <v>457.44176330000016</v>
      </c>
      <c r="E11" s="48">
        <f>E10+10</f>
        <v>1100</v>
      </c>
      <c r="F11" s="50">
        <f>1000*(7.802-0.005278*E11-0.000003679*E11^2+0.000000001388*E11^3+0.000000000001031*E11^4)</f>
        <v>901.52510000000018</v>
      </c>
      <c r="H11" s="48">
        <f>H10+10</f>
        <v>1270</v>
      </c>
      <c r="I11" s="50">
        <v>703</v>
      </c>
    </row>
    <row r="12" spans="2:9" x14ac:dyDescent="0.3">
      <c r="B12" s="48">
        <f>B11+10</f>
        <v>380</v>
      </c>
      <c r="C12" s="50">
        <f>1000*(2.368-0.01492*B12+0.00004107*B12^2-0.00000004696*B12^3+0.00000000001953*B12^4)</f>
        <v>459.34594079999965</v>
      </c>
      <c r="E12" s="48">
        <f>E11+10</f>
        <v>1110</v>
      </c>
      <c r="F12" s="50">
        <f>1000*(7.802-0.005278*E12-0.000003679*E12^2+0.000000001388*E12^3+0.000000000001031*E12^4)</f>
        <v>873.92652070999975</v>
      </c>
      <c r="H12" s="48">
        <f>H11+10</f>
        <v>1280</v>
      </c>
      <c r="I12" s="50">
        <v>703</v>
      </c>
    </row>
    <row r="13" spans="2:9" x14ac:dyDescent="0.3">
      <c r="B13" s="48">
        <f>B12+10</f>
        <v>390</v>
      </c>
      <c r="C13" s="50">
        <f>1000*(2.368-0.01492*B13+0.00004107*B13^2-0.00000004696*B13^3+0.00000000001953*B13^4)</f>
        <v>462.14178730000032</v>
      </c>
      <c r="E13" s="48">
        <f>E12+10</f>
        <v>1120</v>
      </c>
      <c r="F13" s="50">
        <f>1000*(7.802-0.005278*E13-0.000003679*E13^2+0.000000001388*E13^3+0.000000000001031*E13^4)</f>
        <v>848.04092416000003</v>
      </c>
      <c r="H13" s="48">
        <f>H12+10</f>
        <v>1290</v>
      </c>
      <c r="I13" s="50">
        <v>703</v>
      </c>
    </row>
    <row r="14" spans="2:9" x14ac:dyDescent="0.3">
      <c r="B14" s="48">
        <f>B13+10</f>
        <v>400</v>
      </c>
      <c r="C14" s="50">
        <f>1000*(2.368-0.01492*B14+0.00004107*B14^2-0.00000004696*B14^3+0.00000000001953*B14^4)</f>
        <v>465.72799999999904</v>
      </c>
      <c r="E14" s="48">
        <f>E13+10</f>
        <v>1130</v>
      </c>
      <c r="F14" s="50">
        <f>1000*(7.802-0.005278*E14-0.000003679*E14^2+0.000000001388*E14^3+0.000000000001031*E14^4)</f>
        <v>823.90422790999969</v>
      </c>
      <c r="H14" s="48">
        <f>H13+10</f>
        <v>1300</v>
      </c>
      <c r="I14" s="50">
        <v>703</v>
      </c>
    </row>
    <row r="15" spans="2:9" x14ac:dyDescent="0.3">
      <c r="B15" s="48">
        <f>B14+10</f>
        <v>410</v>
      </c>
      <c r="C15" s="50">
        <f>1000*(2.368-0.01492*B15+0.00004107*B15^2-0.00000004696*B15^3+0.00000000001953*B15^4)</f>
        <v>470.00796330000026</v>
      </c>
      <c r="E15" s="48">
        <f>E14+10</f>
        <v>1140</v>
      </c>
      <c r="F15" s="50">
        <f>1000*(7.802-0.005278*E15-0.000003679*E15^2+0.000000001388*E15^3+0.000000000001031*E15^4)</f>
        <v>801.55259695999996</v>
      </c>
      <c r="H15" s="48">
        <f>H14+10</f>
        <v>1310</v>
      </c>
      <c r="I15" s="50">
        <v>703</v>
      </c>
    </row>
    <row r="16" spans="2:9" x14ac:dyDescent="0.3">
      <c r="B16" s="48">
        <f>B15+10</f>
        <v>420</v>
      </c>
      <c r="C16" s="50">
        <f>1000*(2.368-0.01492*B16+0.00004107*B16^2-0.00000004696*B16^3+0.00000000001953*B16^4)</f>
        <v>474.88974879999955</v>
      </c>
      <c r="E16" s="48">
        <f>E15+10</f>
        <v>1150</v>
      </c>
      <c r="F16" s="50">
        <f>1000*(7.802-0.005278*E16-0.000003679*E16^2+0.000000001388*E16^3+0.000000000001031*E16^4)</f>
        <v>781.0224437499993</v>
      </c>
      <c r="H16" s="48">
        <f>H15+10</f>
        <v>1320</v>
      </c>
      <c r="I16" s="50">
        <v>703</v>
      </c>
    </row>
    <row r="17" spans="2:9" x14ac:dyDescent="0.3">
      <c r="B17" s="48">
        <f>B16+10</f>
        <v>430</v>
      </c>
      <c r="C17" s="50">
        <f>1000*(2.368-0.01492*B17+0.00004107*B17^2-0.00000004696*B17^3+0.00000000001953*B17^4)</f>
        <v>480.28611530000074</v>
      </c>
      <c r="E17" s="48">
        <f>E16+10</f>
        <v>1160</v>
      </c>
      <c r="F17" s="50">
        <f>1000*(7.802-0.005278*E17-0.000003679*E17^2+0.000000001388*E17^3+0.000000000001031*E17^4)</f>
        <v>762.35042815999998</v>
      </c>
      <c r="H17" s="48">
        <f>H16+10</f>
        <v>1330</v>
      </c>
      <c r="I17" s="50">
        <v>703</v>
      </c>
    </row>
    <row r="18" spans="2:9" x14ac:dyDescent="0.3">
      <c r="B18" s="48">
        <f>B17+10</f>
        <v>440</v>
      </c>
      <c r="C18" s="50">
        <f>1000*(2.368-0.01492*B18+0.00004107*B18^2-0.00000004696*B18^3+0.00000000001953*B18^4)</f>
        <v>486.11450880000041</v>
      </c>
      <c r="E18" s="48">
        <f>E17+10</f>
        <v>1170</v>
      </c>
      <c r="F18" s="50">
        <f>1000*(7.802-0.005278*E18-0.000003679*E18^2+0.000000001388*E18^3+0.000000000001031*E18^4)</f>
        <v>745.57345750999991</v>
      </c>
      <c r="H18" s="48">
        <f>H17+10</f>
        <v>1340</v>
      </c>
      <c r="I18" s="50">
        <v>703</v>
      </c>
    </row>
    <row r="19" spans="2:9" x14ac:dyDescent="0.3">
      <c r="B19" s="48">
        <f>B18+10</f>
        <v>450</v>
      </c>
      <c r="C19" s="50">
        <f>1000*(2.368-0.01492*B19+0.00004107*B19^2-0.00000004696*B19^3+0.00000000001953*B19^4)</f>
        <v>492.29706249999981</v>
      </c>
      <c r="E19" s="48">
        <f>E18+10</f>
        <v>1180</v>
      </c>
      <c r="F19" s="50">
        <f>1000*(7.802-0.005278*E19-0.000003679*E19^2+0.000000001388*E19^3+0.000000000001031*E19^4)</f>
        <v>730.72868656000026</v>
      </c>
      <c r="H19" s="48">
        <f>H18+10</f>
        <v>1350</v>
      </c>
      <c r="I19" s="50">
        <v>703</v>
      </c>
    </row>
    <row r="20" spans="2:9" x14ac:dyDescent="0.3">
      <c r="B20" s="48">
        <f>B19+10</f>
        <v>460</v>
      </c>
      <c r="C20" s="50">
        <f>1000*(2.368-0.01492*B20+0.00004107*B20^2-0.00000004696*B20^3+0.00000000001953*B20^4)</f>
        <v>498.76059679999986</v>
      </c>
      <c r="E20" s="48">
        <f>E19+10</f>
        <v>1190</v>
      </c>
      <c r="F20" s="50">
        <f>1000*(7.802-0.005278*E20-0.000003679*E20^2+0.000000001388*E20^3+0.000000000001031*E20^4)</f>
        <v>717.85351751000007</v>
      </c>
      <c r="H20" s="48">
        <f>H19+10</f>
        <v>1360</v>
      </c>
      <c r="I20" s="50">
        <v>703</v>
      </c>
    </row>
    <row r="21" spans="2:9" x14ac:dyDescent="0.3">
      <c r="B21" s="48">
        <f>B20+10</f>
        <v>470</v>
      </c>
      <c r="C21" s="50">
        <f>1000*(2.368-0.01492*B21+0.00004107*B21^2-0.00000004696*B21^3+0.00000000001953*B21^4)</f>
        <v>505.43661930000047</v>
      </c>
      <c r="E21" s="48">
        <f>E20+10</f>
        <v>1200</v>
      </c>
      <c r="F21" s="50">
        <f>1000*(7.802-0.005278*E21-0.000003679*E21^2+0.000000001388*E21^3+0.000000000001031*E21^4)</f>
        <v>706.98560000000077</v>
      </c>
      <c r="H21" s="48">
        <f>H20+10</f>
        <v>1370</v>
      </c>
      <c r="I21" s="50">
        <v>703</v>
      </c>
    </row>
    <row r="22" spans="2:9" x14ac:dyDescent="0.3">
      <c r="B22" s="48">
        <f>B21+10</f>
        <v>480</v>
      </c>
      <c r="C22" s="50">
        <f>1000*(2.368-0.01492*B22+0.00004107*B22^2-0.00000004696*B22^3+0.00000000001953*B22^4)</f>
        <v>512.2613247999999</v>
      </c>
      <c r="H22" s="48">
        <f>H21+10</f>
        <v>1380</v>
      </c>
      <c r="I22" s="50">
        <v>703</v>
      </c>
    </row>
    <row r="23" spans="2:9" x14ac:dyDescent="0.3">
      <c r="B23" s="48">
        <f>B22+10</f>
        <v>490</v>
      </c>
      <c r="C23" s="50">
        <f>1000*(2.368-0.01492*B23+0.00004107*B23^2-0.00000004696*B23^3+0.00000000001953*B23^4)</f>
        <v>519.17559529999903</v>
      </c>
      <c r="H23" s="48">
        <f>H22+10</f>
        <v>1390</v>
      </c>
      <c r="I23" s="50">
        <v>703</v>
      </c>
    </row>
    <row r="24" spans="2:9" x14ac:dyDescent="0.3">
      <c r="B24" s="48">
        <f>B23+10</f>
        <v>500</v>
      </c>
      <c r="C24" s="50">
        <f>1000*(2.368-0.01492*B24+0.00004107*B24^2-0.00000004696*B24^3+0.00000000001953*B24^4)</f>
        <v>526.12499999999955</v>
      </c>
      <c r="H24" s="48">
        <f>H23+10</f>
        <v>1400</v>
      </c>
      <c r="I24" s="50">
        <v>703</v>
      </c>
    </row>
    <row r="25" spans="2:9" x14ac:dyDescent="0.3">
      <c r="B25" s="48">
        <f>B24+10</f>
        <v>510</v>
      </c>
      <c r="C25" s="50">
        <f>1000*(2.368-0.01492*B25+0.00004107*B25^2-0.00000004696*B25^3+0.00000000001953*B25^4)</f>
        <v>533.05979530000047</v>
      </c>
      <c r="H25" s="48">
        <f>H24+10</f>
        <v>1410</v>
      </c>
      <c r="I25" s="50">
        <v>703</v>
      </c>
    </row>
    <row r="26" spans="2:9" x14ac:dyDescent="0.3">
      <c r="B26" s="48">
        <f>B25+10</f>
        <v>520</v>
      </c>
      <c r="C26" s="50">
        <f>1000*(2.368-0.01492*B26+0.00004107*B26^2-0.00000004696*B26^3+0.00000000001953*B26^4)</f>
        <v>539.93492480000089</v>
      </c>
      <c r="H26" s="48">
        <f>H25+10</f>
        <v>1420</v>
      </c>
      <c r="I26" s="50">
        <v>703</v>
      </c>
    </row>
    <row r="27" spans="2:9" x14ac:dyDescent="0.3">
      <c r="B27" s="48">
        <f>B26+10</f>
        <v>530</v>
      </c>
      <c r="C27" s="50">
        <f>1000*(2.368-0.01492*B27+0.00004107*B27^2-0.00000004696*B27^3+0.00000000001953*B27^4)</f>
        <v>546.71001929999943</v>
      </c>
      <c r="H27" s="48">
        <f>H26+10</f>
        <v>1430</v>
      </c>
      <c r="I27" s="50">
        <v>703</v>
      </c>
    </row>
    <row r="28" spans="2:9" x14ac:dyDescent="0.3">
      <c r="B28" s="48">
        <f>B27+10</f>
        <v>540</v>
      </c>
      <c r="C28" s="50">
        <f>1000*(2.368-0.01492*B28+0.00004107*B28^2-0.00000004696*B28^3+0.00000000001953*B28^4)</f>
        <v>553.34939680000093</v>
      </c>
      <c r="H28" s="48">
        <f>H27+10</f>
        <v>1440</v>
      </c>
      <c r="I28" s="50">
        <v>703</v>
      </c>
    </row>
    <row r="29" spans="2:9" x14ac:dyDescent="0.3">
      <c r="B29" s="48">
        <f>B28+10</f>
        <v>550</v>
      </c>
      <c r="C29" s="50">
        <f>1000*(2.368-0.01492*B29+0.00004107*B29^2-0.00000004696*B29^3+0.00000000001953*B29^4)</f>
        <v>559.82206250000013</v>
      </c>
      <c r="H29" s="48">
        <f>H28+10</f>
        <v>1450</v>
      </c>
      <c r="I29" s="50">
        <v>703</v>
      </c>
    </row>
    <row r="30" spans="2:9" x14ac:dyDescent="0.3">
      <c r="B30" s="48">
        <f>B29+10</f>
        <v>560</v>
      </c>
      <c r="C30" s="50">
        <f>1000*(2.368-0.01492*B30+0.00004107*B30^2-0.00000004696*B30^3+0.00000000001953*B30^4)</f>
        <v>566.10170879999976</v>
      </c>
      <c r="H30" s="48">
        <f>H29+10</f>
        <v>1460</v>
      </c>
      <c r="I30" s="50">
        <v>703</v>
      </c>
    </row>
    <row r="31" spans="2:9" x14ac:dyDescent="0.3">
      <c r="B31" s="48">
        <f>B30+10</f>
        <v>570</v>
      </c>
      <c r="C31" s="50">
        <f>1000*(2.368-0.01492*B31+0.00004107*B31^2-0.00000004696*B31^3+0.00000000001953*B31^4)</f>
        <v>572.16671530000076</v>
      </c>
      <c r="H31" s="48">
        <f>H30+10</f>
        <v>1470</v>
      </c>
      <c r="I31" s="50">
        <v>703</v>
      </c>
    </row>
    <row r="32" spans="2:9" x14ac:dyDescent="0.3">
      <c r="B32" s="48">
        <f>B31+10</f>
        <v>580</v>
      </c>
      <c r="C32" s="50">
        <f>1000*(2.368-0.01492*B32+0.00004107*B32^2-0.00000004696*B32^3+0.00000000001953*B32^4)</f>
        <v>578.00014879999924</v>
      </c>
      <c r="H32" s="48">
        <f>H31+10</f>
        <v>1480</v>
      </c>
      <c r="I32" s="50">
        <v>703</v>
      </c>
    </row>
    <row r="33" spans="2:9" x14ac:dyDescent="0.3">
      <c r="B33" s="48">
        <f>B32+10</f>
        <v>590</v>
      </c>
      <c r="C33" s="50">
        <f>1000*(2.368-0.01492*B33+0.00004107*B33^2-0.00000004696*B33^3+0.00000000001953*B33^4)</f>
        <v>583.58976330000132</v>
      </c>
      <c r="H33" s="48">
        <f>H32+10</f>
        <v>1490</v>
      </c>
      <c r="I33" s="50">
        <v>703</v>
      </c>
    </row>
    <row r="34" spans="2:9" x14ac:dyDescent="0.3">
      <c r="B34" s="48">
        <f>B33+10</f>
        <v>600</v>
      </c>
      <c r="C34" s="50">
        <f>1000*(2.368-0.01492*B34+0.00004107*B34^2-0.00000004696*B34^3+0.00000000001953*B34^4)</f>
        <v>588.92800000000057</v>
      </c>
      <c r="H34" s="48">
        <f>H33+10</f>
        <v>1500</v>
      </c>
      <c r="I34" s="50">
        <v>703</v>
      </c>
    </row>
    <row r="35" spans="2:9" x14ac:dyDescent="0.3">
      <c r="B35" s="48">
        <f>B34+10</f>
        <v>610</v>
      </c>
      <c r="C35" s="50">
        <f>1000*(2.368-0.01492*B35+0.00004107*B35^2-0.00000004696*B35^3+0.00000000001953*B35^4)</f>
        <v>594.0119873000009</v>
      </c>
      <c r="H35" s="48">
        <v>1503</v>
      </c>
      <c r="I35" s="50">
        <v>703</v>
      </c>
    </row>
    <row r="36" spans="2:9" x14ac:dyDescent="0.3">
      <c r="B36" s="48">
        <f>B35+10</f>
        <v>620</v>
      </c>
      <c r="C36" s="50">
        <f>1000*(2.368-0.01492*B36+0.00004107*B36^2-0.00000004696*B36^3+0.00000000001953*B36^4)</f>
        <v>598.84354080000082</v>
      </c>
    </row>
    <row r="37" spans="2:9" x14ac:dyDescent="0.3">
      <c r="B37" s="48">
        <f>B36+10</f>
        <v>630</v>
      </c>
      <c r="C37" s="50">
        <f>1000*(2.368-0.01492*B37+0.00004107*B37^2-0.00000004696*B37^3+0.00000000001953*B37^4)</f>
        <v>603.42916330000037</v>
      </c>
    </row>
    <row r="38" spans="2:9" x14ac:dyDescent="0.3">
      <c r="B38" s="48">
        <f>B37+10</f>
        <v>640</v>
      </c>
      <c r="C38" s="50">
        <f>1000*(2.368-0.01492*B38+0.00004107*B38^2-0.00000004696*B38^3+0.00000000001953*B38^4)</f>
        <v>607.78004479999879</v>
      </c>
    </row>
    <row r="39" spans="2:9" x14ac:dyDescent="0.3">
      <c r="B39" s="48">
        <f>B38+10</f>
        <v>650</v>
      </c>
      <c r="C39" s="50">
        <f>1000*(2.368-0.01492*B39+0.00004107*B39^2-0.00000004696*B39^3+0.00000000001953*B39^4)</f>
        <v>611.9120625000005</v>
      </c>
    </row>
    <row r="40" spans="2:9" x14ac:dyDescent="0.3">
      <c r="B40" s="48">
        <f>B39+10</f>
        <v>660</v>
      </c>
      <c r="C40" s="50">
        <f>1000*(2.368-0.01492*B40+0.00004107*B40^2-0.00000004696*B40^3+0.00000000001953*B40^4)</f>
        <v>615.84578080000176</v>
      </c>
    </row>
    <row r="41" spans="2:9" x14ac:dyDescent="0.3">
      <c r="B41" s="48">
        <f>B40+10</f>
        <v>670</v>
      </c>
      <c r="C41" s="50">
        <f>1000*(2.368-0.01492*B41+0.00004107*B41^2-0.00000004696*B41^3+0.00000000001953*B41^4)</f>
        <v>619.60645130000012</v>
      </c>
    </row>
    <row r="42" spans="2:9" x14ac:dyDescent="0.3">
      <c r="B42" s="48">
        <f>B41+10</f>
        <v>680</v>
      </c>
      <c r="C42" s="50">
        <f>1000*(2.368-0.01492*B42+0.00004107*B42^2-0.00000004696*B42^3+0.00000000001953*B42^4)</f>
        <v>623.22401279999974</v>
      </c>
    </row>
    <row r="43" spans="2:9" x14ac:dyDescent="0.3">
      <c r="B43" s="48">
        <f>B42+10</f>
        <v>690</v>
      </c>
      <c r="C43" s="50">
        <f>1000*(2.368-0.01492*B43+0.00004107*B43^2-0.00000004696*B43^3+0.00000000001953*B43^4)</f>
        <v>626.733091300002</v>
      </c>
    </row>
    <row r="44" spans="2:9" x14ac:dyDescent="0.3">
      <c r="B44" s="48">
        <f>B43+10</f>
        <v>700</v>
      </c>
      <c r="C44" s="50">
        <f>1000*(2.368-0.01492*B44+0.00004107*B44^2-0.00000004696*B44^3+0.00000000001953*B44^4)</f>
        <v>630.17300000000012</v>
      </c>
    </row>
    <row r="45" spans="2:9" x14ac:dyDescent="0.3">
      <c r="B45" s="48">
        <f>B44+10</f>
        <v>710</v>
      </c>
      <c r="C45" s="50">
        <f>1000*(2.368-0.01492*B45+0.00004107*B45^2-0.00000004696*B45^3+0.00000000001953*B45^4)</f>
        <v>633.58773929999847</v>
      </c>
    </row>
    <row r="46" spans="2:9" x14ac:dyDescent="0.3">
      <c r="B46" s="48">
        <f>B45+10</f>
        <v>720</v>
      </c>
      <c r="C46" s="50">
        <f>1000*(2.368-0.01492*B46+0.00004107*B46^2-0.00000004696*B46^3+0.00000000001953*B46^4)</f>
        <v>637.02599679999844</v>
      </c>
    </row>
    <row r="47" spans="2:9" x14ac:dyDescent="0.3">
      <c r="B47" s="48">
        <f>B46+10</f>
        <v>730</v>
      </c>
      <c r="C47" s="50">
        <f>1000*(2.368-0.01492*B47+0.00004107*B47^2-0.00000004696*B47^3+0.00000000001953*B47^4)</f>
        <v>640.54114730000128</v>
      </c>
    </row>
    <row r="48" spans="2:9" x14ac:dyDescent="0.3">
      <c r="B48" s="48">
        <f>B47+10</f>
        <v>740</v>
      </c>
      <c r="C48" s="50">
        <f>1000*(2.368-0.01492*B48+0.00004107*B48^2-0.00000004696*B48^3+0.00000000001953*B48^4)</f>
        <v>644.1912527999998</v>
      </c>
    </row>
    <row r="49" spans="2:3" x14ac:dyDescent="0.3">
      <c r="B49" s="48">
        <f>B48+10</f>
        <v>750</v>
      </c>
      <c r="C49" s="50">
        <f>1000*(2.368-0.01492*B49+0.00004107*B49^2-0.00000004696*B49^3+0.00000000001953*B49^4)</f>
        <v>648.03906250000227</v>
      </c>
    </row>
    <row r="50" spans="2:3" x14ac:dyDescent="0.3">
      <c r="B50" s="48">
        <f>B49+10</f>
        <v>760</v>
      </c>
      <c r="C50" s="50">
        <f>1000*(2.368-0.01492*B50+0.00004107*B50^2-0.00000004696*B50^3+0.00000000001953*B50^4)</f>
        <v>652.1520127999994</v>
      </c>
    </row>
    <row r="51" spans="2:3" x14ac:dyDescent="0.3">
      <c r="B51" s="48">
        <f>B50+10</f>
        <v>770</v>
      </c>
      <c r="C51" s="50">
        <f>1000*(2.368-0.01492*B51+0.00004107*B51^2-0.00000004696*B51^3+0.00000000001953*B51^4)</f>
        <v>656.60222730000226</v>
      </c>
    </row>
    <row r="52" spans="2:3" x14ac:dyDescent="0.3">
      <c r="B52" s="48">
        <f>B51+10</f>
        <v>780</v>
      </c>
      <c r="C52" s="50">
        <f>1000*(2.368-0.01492*B52+0.00004107*B52^2-0.00000004696*B52^3+0.00000000001953*B52^4)</f>
        <v>661.46651680000093</v>
      </c>
    </row>
    <row r="53" spans="2:3" x14ac:dyDescent="0.3">
      <c r="B53" s="48">
        <f>B52+10</f>
        <v>790</v>
      </c>
      <c r="C53" s="50">
        <f>1000*(2.368-0.01492*B53+0.00004107*B53^2-0.00000004696*B53^3+0.00000000001953*B53^4)</f>
        <v>666.82637929999805</v>
      </c>
    </row>
    <row r="54" spans="2:3" x14ac:dyDescent="0.3">
      <c r="B54" s="48">
        <f>B53+10</f>
        <v>800</v>
      </c>
      <c r="C54" s="50">
        <f>1000*(2.368-0.01492*B54+0.00004107*B54^2-0.00000004696*B54^3+0.00000000001953*B54^4)</f>
        <v>672.76799999999776</v>
      </c>
    </row>
    <row r="55" spans="2:3" x14ac:dyDescent="0.3">
      <c r="B55" s="48">
        <f>B54+10</f>
        <v>810</v>
      </c>
      <c r="C55" s="50">
        <f>1000*(2.368-0.01492*B55+0.00004107*B55^2-0.00000004696*B55^3+0.00000000001953*B55^4)</f>
        <v>679.38225129999807</v>
      </c>
    </row>
    <row r="56" spans="2:3" x14ac:dyDescent="0.3">
      <c r="B56" s="48">
        <f>B55+10</f>
        <v>820</v>
      </c>
      <c r="C56" s="50">
        <f>1000*(2.368-0.01492*B56+0.00004107*B56^2-0.00000004696*B56^3+0.00000000001953*B56^4)</f>
        <v>686.7646928000006</v>
      </c>
    </row>
    <row r="57" spans="2:3" x14ac:dyDescent="0.3">
      <c r="B57" s="48">
        <f>B56+10</f>
        <v>830</v>
      </c>
      <c r="C57" s="50">
        <f>1000*(2.368-0.01492*B57+0.00004107*B57^2-0.00000004696*B57^3+0.00000000001953*B57^4)</f>
        <v>695.01557129999901</v>
      </c>
    </row>
    <row r="58" spans="2:3" x14ac:dyDescent="0.3">
      <c r="B58" s="48">
        <f>B57+10</f>
        <v>840</v>
      </c>
      <c r="C58" s="50">
        <f>1000*(2.368-0.01492*B58+0.00004107*B58^2-0.00000004696*B58^3+0.00000000001953*B58^4)</f>
        <v>704.23982079999985</v>
      </c>
    </row>
    <row r="59" spans="2:3" x14ac:dyDescent="0.3">
      <c r="B59" s="48">
        <f>B58+10</f>
        <v>850</v>
      </c>
      <c r="C59" s="50">
        <f>1000*(2.368-0.01492*B59+0.00004107*B59^2-0.00000004696*B59^3+0.00000000001953*B59^4)</f>
        <v>714.54706249999947</v>
      </c>
    </row>
    <row r="60" spans="2:3" x14ac:dyDescent="0.3">
      <c r="B60" s="48">
        <f>B59+10</f>
        <v>860</v>
      </c>
      <c r="C60" s="50">
        <f>1000*(2.368-0.01492*B60+0.00004107*B60^2-0.00000004696*B60^3+0.00000000001953*B60^4)</f>
        <v>726.05160480000029</v>
      </c>
    </row>
    <row r="61" spans="2:3" x14ac:dyDescent="0.3">
      <c r="B61" s="48">
        <f>B60+10</f>
        <v>870</v>
      </c>
      <c r="C61" s="50">
        <f>1000*(2.368-0.01492*B61+0.00004107*B61^2-0.00000004696*B61^3+0.00000000001953*B61^4)</f>
        <v>738.87244330000181</v>
      </c>
    </row>
    <row r="62" spans="2:3" x14ac:dyDescent="0.3">
      <c r="B62" s="48">
        <f>B61+10</f>
        <v>880</v>
      </c>
      <c r="C62" s="50">
        <f>1000*(2.368-0.01492*B62+0.00004107*B62^2-0.00000004696*B62^3+0.00000000001953*B62^4)</f>
        <v>753.13326080000388</v>
      </c>
    </row>
    <row r="63" spans="2:3" x14ac:dyDescent="0.3">
      <c r="B63" s="48">
        <f>B62+10</f>
        <v>890</v>
      </c>
      <c r="C63" s="50">
        <f>1000*(2.368-0.01492*B63+0.00004107*B63^2-0.00000004696*B63^3+0.00000000001953*B63^4)</f>
        <v>768.96242729999642</v>
      </c>
    </row>
    <row r="64" spans="2:3" x14ac:dyDescent="0.3">
      <c r="B64" s="48">
        <f>B63+10</f>
        <v>900</v>
      </c>
      <c r="C64" s="50">
        <f>1000*(2.368-0.01492*B64+0.00004107*B64^2-0.00000004696*B64^3+0.00000000001953*B64^4)</f>
        <v>786.49300000000017</v>
      </c>
    </row>
    <row r="65" spans="2:3" x14ac:dyDescent="0.3">
      <c r="B65" s="48">
        <f>B64+10</f>
        <v>910</v>
      </c>
      <c r="C65" s="50">
        <f>1000*(2.368-0.01492*B65+0.00004107*B65^2-0.00000004696*B65^3+0.00000000001953*B65^4)</f>
        <v>805.86272330000418</v>
      </c>
    </row>
    <row r="66" spans="2:3" x14ac:dyDescent="0.3">
      <c r="B66" s="48">
        <f>B65+10</f>
        <v>920</v>
      </c>
      <c r="C66" s="50">
        <f>1000*(2.368-0.01492*B66+0.00004107*B66^2-0.00000004696*B66^3+0.00000000001953*B66^4)</f>
        <v>827.2140288000021</v>
      </c>
    </row>
    <row r="67" spans="2:3" x14ac:dyDescent="0.3">
      <c r="B67" s="48">
        <f>B66+10</f>
        <v>930</v>
      </c>
      <c r="C67" s="50">
        <f>1000*(2.368-0.01492*B67+0.00004107*B67^2-0.00000004696*B67^3+0.00000000001953*B67^4)</f>
        <v>850.69403530000363</v>
      </c>
    </row>
    <row r="68" spans="2:3" x14ac:dyDescent="0.3">
      <c r="B68" s="48">
        <f>B67+10</f>
        <v>940</v>
      </c>
      <c r="C68" s="50">
        <f>1000*(2.368-0.01492*B68+0.00004107*B68^2-0.00000004696*B68^3+0.00000000001953*B68^4)</f>
        <v>876.45454880000352</v>
      </c>
    </row>
    <row r="69" spans="2:3" x14ac:dyDescent="0.3">
      <c r="B69" s="48">
        <f>B68+10</f>
        <v>950</v>
      </c>
      <c r="C69" s="50">
        <f>1000*(2.368-0.01492*B69+0.00004107*B69^2-0.00000004696*B69^3+0.00000000001953*B69^4)</f>
        <v>904.6520625000021</v>
      </c>
    </row>
    <row r="70" spans="2:3" x14ac:dyDescent="0.3">
      <c r="B70" s="48">
        <f>B69+10</f>
        <v>960</v>
      </c>
      <c r="C70" s="50">
        <f>1000*(2.368-0.01492*B70+0.00004107*B70^2-0.00000004696*B70^3+0.00000000001953*B70^4)</f>
        <v>935.44775680000214</v>
      </c>
    </row>
    <row r="71" spans="2:3" x14ac:dyDescent="0.3">
      <c r="B71" s="48">
        <f>B70+10</f>
        <v>970</v>
      </c>
      <c r="C71" s="50">
        <f>1000*(2.368-0.01492*B71+0.00004107*B71^2-0.00000004696*B71^3+0.00000000001953*B71^4)</f>
        <v>969.00749929999461</v>
      </c>
    </row>
    <row r="72" spans="2:3" x14ac:dyDescent="0.3">
      <c r="B72" s="48">
        <f>B71+10</f>
        <v>980</v>
      </c>
      <c r="C72" s="50">
        <f>1000*(2.368-0.01492*B72+0.00004107*B72^2-0.00000004696*B72^3+0.00000000001953*B72^4)</f>
        <v>1005.5018447999977</v>
      </c>
    </row>
    <row r="73" spans="2:3" x14ac:dyDescent="0.3">
      <c r="B73" s="48">
        <f>B72+10</f>
        <v>990</v>
      </c>
      <c r="C73" s="50">
        <f>1000*(2.368-0.01492*B73+0.00004107*B73^2-0.00000004696*B73^3+0.00000000001953*B73^4)</f>
        <v>1045.1060353000053</v>
      </c>
    </row>
    <row r="74" spans="2:3" x14ac:dyDescent="0.3">
      <c r="B74" s="48">
        <f>B73+10</f>
        <v>1000</v>
      </c>
      <c r="C74" s="50">
        <f>1000*(2.368-0.01492*B74+0.00004107*B74^2-0.00000004696*B74^3+0.00000000001953*B74^4)</f>
        <v>1088.0000000000009</v>
      </c>
    </row>
    <row r="75" spans="2:3" x14ac:dyDescent="0.3">
      <c r="B75" s="48">
        <f>B74+10</f>
        <v>1010</v>
      </c>
      <c r="C75" s="50">
        <f>1000*(2.368-0.01492*B75+0.00004107*B75^2-0.00000004696*B75^3+0.00000000001953*B75^4)</f>
        <v>1134.3683552999942</v>
      </c>
    </row>
    <row r="76" spans="2:3" x14ac:dyDescent="0.3">
      <c r="B76" s="48">
        <f>B75+10</f>
        <v>1020</v>
      </c>
      <c r="C76" s="50">
        <f>1000*(2.368-0.01492*B76+0.00004107*B76^2-0.00000004696*B76^3+0.00000000001953*B76^4)</f>
        <v>1184.4004047999981</v>
      </c>
    </row>
    <row r="77" spans="2:3" x14ac:dyDescent="0.3">
      <c r="B77" s="48">
        <f>B76+10</f>
        <v>1030</v>
      </c>
      <c r="C77" s="50">
        <f>1000*(2.368-0.01492*B77+0.00004107*B77^2-0.00000004696*B77^3+0.00000000001953*B77^4)</f>
        <v>1238.2901392999984</v>
      </c>
    </row>
    <row r="78" spans="2:3" x14ac:dyDescent="0.3">
      <c r="B78" s="48">
        <v>1033</v>
      </c>
      <c r="C78" s="50">
        <f>1000*(2.368-0.01492*B78+0.00004107*B78^2-0.00000004696*B78^3+0.00000000001953*B78^4)</f>
        <v>1255.2388879571304</v>
      </c>
    </row>
  </sheetData>
  <mergeCells count="3">
    <mergeCell ref="B2:C2"/>
    <mergeCell ref="E2:F2"/>
    <mergeCell ref="H2:I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B2:C123"/>
  <sheetViews>
    <sheetView showGridLines="0" workbookViewId="0">
      <selection activeCell="B1" sqref="B1:C1048576"/>
    </sheetView>
  </sheetViews>
  <sheetFormatPr defaultRowHeight="19.95" customHeight="1" x14ac:dyDescent="0.3"/>
  <cols>
    <col min="2" max="3" width="8.796875" style="54"/>
  </cols>
  <sheetData>
    <row r="2" spans="2:3" ht="19.95" customHeight="1" x14ac:dyDescent="0.3">
      <c r="B2" s="38" t="s">
        <v>24</v>
      </c>
      <c r="C2" s="38" t="s">
        <v>33</v>
      </c>
    </row>
    <row r="3" spans="2:3" ht="19.95" customHeight="1" x14ac:dyDescent="0.3">
      <c r="B3" s="20">
        <v>300</v>
      </c>
      <c r="C3" s="22">
        <f>65.214+0.02715*B3-0.0001628*B3^2+0.000000139*B3^3-0.00000000003041*B3^4</f>
        <v>62.213678999999992</v>
      </c>
    </row>
    <row r="4" spans="2:3" ht="19.95" customHeight="1" x14ac:dyDescent="0.3">
      <c r="B4" s="20">
        <f>B3+10</f>
        <v>310</v>
      </c>
      <c r="C4" s="22">
        <f>65.214+0.02715*B4-0.0001628*B4^2+0.000000139*B4^3-0.00000000003041*B4^4</f>
        <v>61.845526263899998</v>
      </c>
    </row>
    <row r="5" spans="2:3" ht="19.95" customHeight="1" x14ac:dyDescent="0.3">
      <c r="B5" s="20">
        <f t="shared" ref="B5:B66" si="0">B4+10</f>
        <v>320</v>
      </c>
      <c r="C5" s="22">
        <f t="shared" ref="C5:C68" si="1">65.214+0.02715*B5-0.0001628*B5^2+0.000000139*B5^3-0.00000000003041*B5^4</f>
        <v>61.467160038399996</v>
      </c>
    </row>
    <row r="6" spans="2:3" ht="19.95" customHeight="1" x14ac:dyDescent="0.3">
      <c r="B6" s="20">
        <f t="shared" si="0"/>
        <v>330</v>
      </c>
      <c r="C6" s="22">
        <f t="shared" si="1"/>
        <v>61.079184423900003</v>
      </c>
    </row>
    <row r="7" spans="2:3" ht="19.95" customHeight="1" x14ac:dyDescent="0.3">
      <c r="B7" s="20">
        <f t="shared" si="0"/>
        <v>340</v>
      </c>
      <c r="C7" s="22">
        <f t="shared" si="1"/>
        <v>60.682196222399988</v>
      </c>
    </row>
    <row r="8" spans="2:3" ht="19.95" customHeight="1" x14ac:dyDescent="0.3">
      <c r="B8" s="20">
        <f t="shared" si="0"/>
        <v>350</v>
      </c>
      <c r="C8" s="22">
        <f t="shared" si="1"/>
        <v>60.276784937500004</v>
      </c>
    </row>
    <row r="9" spans="2:3" ht="19.95" customHeight="1" x14ac:dyDescent="0.3">
      <c r="B9" s="20">
        <f t="shared" si="0"/>
        <v>360</v>
      </c>
      <c r="C9" s="22">
        <f t="shared" si="1"/>
        <v>59.863532774399992</v>
      </c>
    </row>
    <row r="10" spans="2:3" ht="19.95" customHeight="1" x14ac:dyDescent="0.3">
      <c r="B10" s="20">
        <f t="shared" si="0"/>
        <v>370</v>
      </c>
      <c r="C10" s="22">
        <f t="shared" si="1"/>
        <v>59.443014639900007</v>
      </c>
    </row>
    <row r="11" spans="2:3" ht="19.95" customHeight="1" x14ac:dyDescent="0.3">
      <c r="B11" s="20">
        <f t="shared" si="0"/>
        <v>380</v>
      </c>
      <c r="C11" s="22">
        <f t="shared" si="1"/>
        <v>59.015798142400001</v>
      </c>
    </row>
    <row r="12" spans="2:3" ht="19.95" customHeight="1" x14ac:dyDescent="0.3">
      <c r="B12" s="20">
        <f t="shared" si="0"/>
        <v>390</v>
      </c>
      <c r="C12" s="22">
        <f t="shared" si="1"/>
        <v>58.582443591899988</v>
      </c>
    </row>
    <row r="13" spans="2:3" ht="19.95" customHeight="1" x14ac:dyDescent="0.3">
      <c r="B13" s="20">
        <f t="shared" si="0"/>
        <v>400</v>
      </c>
      <c r="C13" s="22">
        <f t="shared" si="1"/>
        <v>58.143504</v>
      </c>
    </row>
    <row r="14" spans="2:3" ht="19.95" customHeight="1" x14ac:dyDescent="0.3">
      <c r="B14" s="20">
        <f t="shared" si="0"/>
        <v>410</v>
      </c>
      <c r="C14" s="22">
        <f t="shared" si="1"/>
        <v>57.699525079899999</v>
      </c>
    </row>
    <row r="15" spans="2:3" ht="19.95" customHeight="1" x14ac:dyDescent="0.3">
      <c r="B15" s="20">
        <f t="shared" si="0"/>
        <v>420</v>
      </c>
      <c r="C15" s="22">
        <f t="shared" si="1"/>
        <v>57.251045246400004</v>
      </c>
    </row>
    <row r="16" spans="2:3" ht="19.95" customHeight="1" x14ac:dyDescent="0.3">
      <c r="B16" s="20">
        <f t="shared" si="0"/>
        <v>430</v>
      </c>
      <c r="C16" s="22">
        <f t="shared" si="1"/>
        <v>56.798595615899991</v>
      </c>
    </row>
    <row r="17" spans="2:3" ht="19.95" customHeight="1" x14ac:dyDescent="0.3">
      <c r="B17" s="20">
        <f t="shared" si="0"/>
        <v>440</v>
      </c>
      <c r="C17" s="22">
        <f t="shared" si="1"/>
        <v>56.342700006399994</v>
      </c>
    </row>
    <row r="18" spans="2:3" ht="19.95" customHeight="1" x14ac:dyDescent="0.3">
      <c r="B18" s="20">
        <f t="shared" si="0"/>
        <v>450</v>
      </c>
      <c r="C18" s="22">
        <f t="shared" si="1"/>
        <v>55.883874937500003</v>
      </c>
    </row>
    <row r="19" spans="2:3" ht="19.95" customHeight="1" x14ac:dyDescent="0.3">
      <c r="B19" s="20">
        <f t="shared" si="0"/>
        <v>460</v>
      </c>
      <c r="C19" s="22">
        <f t="shared" si="1"/>
        <v>55.42262963040001</v>
      </c>
    </row>
    <row r="20" spans="2:3" ht="19.95" customHeight="1" x14ac:dyDescent="0.3">
      <c r="B20" s="20">
        <f t="shared" si="0"/>
        <v>470</v>
      </c>
      <c r="C20" s="22">
        <f t="shared" si="1"/>
        <v>54.959466007900005</v>
      </c>
    </row>
    <row r="21" spans="2:3" ht="19.95" customHeight="1" x14ac:dyDescent="0.3">
      <c r="B21" s="20">
        <f t="shared" si="0"/>
        <v>480</v>
      </c>
      <c r="C21" s="22">
        <f t="shared" si="1"/>
        <v>54.494878694399986</v>
      </c>
    </row>
    <row r="22" spans="2:3" ht="19.95" customHeight="1" x14ac:dyDescent="0.3">
      <c r="B22" s="20">
        <f t="shared" si="0"/>
        <v>490</v>
      </c>
      <c r="C22" s="22">
        <f t="shared" si="1"/>
        <v>54.029355015900002</v>
      </c>
    </row>
    <row r="23" spans="2:3" ht="19.95" customHeight="1" x14ac:dyDescent="0.3">
      <c r="B23" s="20">
        <f t="shared" si="0"/>
        <v>500</v>
      </c>
      <c r="C23" s="22">
        <f t="shared" si="1"/>
        <v>53.563375000000001</v>
      </c>
    </row>
    <row r="24" spans="2:3" ht="19.95" customHeight="1" x14ac:dyDescent="0.3">
      <c r="B24" s="20">
        <f t="shared" si="0"/>
        <v>510</v>
      </c>
      <c r="C24" s="22">
        <f t="shared" si="1"/>
        <v>53.097411375900002</v>
      </c>
    </row>
    <row r="25" spans="2:3" ht="19.95" customHeight="1" x14ac:dyDescent="0.3">
      <c r="B25" s="20">
        <f t="shared" si="0"/>
        <v>520</v>
      </c>
      <c r="C25" s="22">
        <f t="shared" si="1"/>
        <v>52.63192957439999</v>
      </c>
    </row>
    <row r="26" spans="2:3" ht="19.95" customHeight="1" x14ac:dyDescent="0.3">
      <c r="B26" s="20">
        <f t="shared" si="0"/>
        <v>530</v>
      </c>
      <c r="C26" s="22">
        <f t="shared" si="1"/>
        <v>52.1673877279</v>
      </c>
    </row>
    <row r="27" spans="2:3" ht="19.95" customHeight="1" x14ac:dyDescent="0.3">
      <c r="B27" s="20">
        <f t="shared" si="0"/>
        <v>540</v>
      </c>
      <c r="C27" s="22">
        <f t="shared" si="1"/>
        <v>51.7042366704</v>
      </c>
    </row>
    <row r="28" spans="2:3" ht="19.95" customHeight="1" x14ac:dyDescent="0.3">
      <c r="B28" s="20">
        <f t="shared" si="0"/>
        <v>550</v>
      </c>
      <c r="C28" s="22">
        <f t="shared" si="1"/>
        <v>51.242919937500005</v>
      </c>
    </row>
    <row r="29" spans="2:3" ht="19.95" customHeight="1" x14ac:dyDescent="0.3">
      <c r="B29" s="20">
        <f t="shared" si="0"/>
        <v>560</v>
      </c>
      <c r="C29" s="22">
        <f t="shared" si="1"/>
        <v>50.783873766400006</v>
      </c>
    </row>
    <row r="30" spans="2:3" ht="19.95" customHeight="1" x14ac:dyDescent="0.3">
      <c r="B30" s="20">
        <f t="shared" si="0"/>
        <v>570</v>
      </c>
      <c r="C30" s="22">
        <f t="shared" si="1"/>
        <v>50.327527095899995</v>
      </c>
    </row>
    <row r="31" spans="2:3" ht="19.95" customHeight="1" x14ac:dyDescent="0.3">
      <c r="B31" s="20">
        <f t="shared" si="0"/>
        <v>580</v>
      </c>
      <c r="C31" s="22">
        <f t="shared" si="1"/>
        <v>49.874301566399993</v>
      </c>
    </row>
    <row r="32" spans="2:3" ht="19.95" customHeight="1" x14ac:dyDescent="0.3">
      <c r="B32" s="20">
        <f t="shared" si="0"/>
        <v>590</v>
      </c>
      <c r="C32" s="22">
        <f t="shared" si="1"/>
        <v>49.424611519900004</v>
      </c>
    </row>
    <row r="33" spans="2:3" ht="19.95" customHeight="1" x14ac:dyDescent="0.3">
      <c r="B33" s="20">
        <f t="shared" si="0"/>
        <v>600</v>
      </c>
      <c r="C33" s="22">
        <f t="shared" si="1"/>
        <v>48.978863999999987</v>
      </c>
    </row>
    <row r="34" spans="2:3" ht="19.95" customHeight="1" x14ac:dyDescent="0.3">
      <c r="B34" s="20">
        <f t="shared" si="0"/>
        <v>610</v>
      </c>
      <c r="C34" s="22">
        <f t="shared" si="1"/>
        <v>48.53745875189999</v>
      </c>
    </row>
    <row r="35" spans="2:3" ht="19.95" customHeight="1" x14ac:dyDescent="0.3">
      <c r="B35" s="20">
        <f t="shared" si="0"/>
        <v>620</v>
      </c>
      <c r="C35" s="22">
        <f t="shared" si="1"/>
        <v>48.100788222399999</v>
      </c>
    </row>
    <row r="36" spans="2:3" ht="19.95" customHeight="1" x14ac:dyDescent="0.3">
      <c r="B36" s="20">
        <f t="shared" si="0"/>
        <v>630</v>
      </c>
      <c r="C36" s="22">
        <f t="shared" si="1"/>
        <v>47.669237559899997</v>
      </c>
    </row>
    <row r="37" spans="2:3" ht="19.95" customHeight="1" x14ac:dyDescent="0.3">
      <c r="B37" s="20">
        <f t="shared" si="0"/>
        <v>640</v>
      </c>
      <c r="C37" s="22">
        <f t="shared" si="1"/>
        <v>47.2431846144</v>
      </c>
    </row>
    <row r="38" spans="2:3" ht="19.95" customHeight="1" x14ac:dyDescent="0.3">
      <c r="B38" s="20">
        <f t="shared" si="0"/>
        <v>650</v>
      </c>
      <c r="C38" s="22">
        <f t="shared" si="1"/>
        <v>46.822999937500001</v>
      </c>
    </row>
    <row r="39" spans="2:3" ht="19.95" customHeight="1" x14ac:dyDescent="0.3">
      <c r="B39" s="20">
        <f t="shared" si="0"/>
        <v>660</v>
      </c>
      <c r="C39" s="22">
        <f t="shared" si="1"/>
        <v>46.409046782399997</v>
      </c>
    </row>
    <row r="40" spans="2:3" ht="19.95" customHeight="1" x14ac:dyDescent="0.3">
      <c r="B40" s="20">
        <f t="shared" si="0"/>
        <v>670</v>
      </c>
      <c r="C40" s="22">
        <f t="shared" si="1"/>
        <v>46.00168110389999</v>
      </c>
    </row>
    <row r="41" spans="2:3" ht="19.95" customHeight="1" x14ac:dyDescent="0.3">
      <c r="B41" s="20">
        <f t="shared" si="0"/>
        <v>680</v>
      </c>
      <c r="C41" s="22">
        <f t="shared" si="1"/>
        <v>45.601251558399987</v>
      </c>
    </row>
    <row r="42" spans="2:3" ht="19.95" customHeight="1" x14ac:dyDescent="0.3">
      <c r="B42" s="20">
        <f t="shared" si="0"/>
        <v>690</v>
      </c>
      <c r="C42" s="22">
        <f t="shared" si="1"/>
        <v>45.208099503899987</v>
      </c>
    </row>
    <row r="43" spans="2:3" ht="19.95" customHeight="1" x14ac:dyDescent="0.3">
      <c r="B43" s="20">
        <f t="shared" si="0"/>
        <v>700</v>
      </c>
      <c r="C43" s="22">
        <f t="shared" si="1"/>
        <v>44.822558999999984</v>
      </c>
    </row>
    <row r="44" spans="2:3" ht="19.95" customHeight="1" x14ac:dyDescent="0.3">
      <c r="B44" s="20">
        <f t="shared" si="0"/>
        <v>710</v>
      </c>
      <c r="C44" s="22">
        <f t="shared" si="1"/>
        <v>44.444956807899992</v>
      </c>
    </row>
    <row r="45" spans="2:3" ht="19.95" customHeight="1" x14ac:dyDescent="0.3">
      <c r="B45" s="20">
        <f t="shared" si="0"/>
        <v>720</v>
      </c>
      <c r="C45" s="22">
        <f t="shared" si="1"/>
        <v>44.075612390399989</v>
      </c>
    </row>
    <row r="46" spans="2:3" ht="19.95" customHeight="1" x14ac:dyDescent="0.3">
      <c r="B46" s="20">
        <f t="shared" si="0"/>
        <v>730</v>
      </c>
      <c r="C46" s="22">
        <f t="shared" si="1"/>
        <v>43.714837911899998</v>
      </c>
    </row>
    <row r="47" spans="2:3" ht="19.95" customHeight="1" x14ac:dyDescent="0.3">
      <c r="B47" s="20">
        <f t="shared" si="0"/>
        <v>740</v>
      </c>
      <c r="C47" s="22">
        <f t="shared" si="1"/>
        <v>43.362938238399998</v>
      </c>
    </row>
    <row r="48" spans="2:3" ht="19.95" customHeight="1" x14ac:dyDescent="0.3">
      <c r="B48" s="20">
        <f t="shared" si="0"/>
        <v>750</v>
      </c>
      <c r="C48" s="22">
        <f t="shared" si="1"/>
        <v>43.020210937499982</v>
      </c>
    </row>
    <row r="49" spans="2:3" ht="19.95" customHeight="1" x14ac:dyDescent="0.3">
      <c r="B49" s="20">
        <f t="shared" si="0"/>
        <v>760</v>
      </c>
      <c r="C49" s="22">
        <f t="shared" si="1"/>
        <v>42.686946278399986</v>
      </c>
    </row>
    <row r="50" spans="2:3" ht="19.95" customHeight="1" x14ac:dyDescent="0.3">
      <c r="B50" s="20">
        <f t="shared" si="0"/>
        <v>770</v>
      </c>
      <c r="C50" s="22">
        <f t="shared" si="1"/>
        <v>42.363427231899998</v>
      </c>
    </row>
    <row r="51" spans="2:3" ht="19.95" customHeight="1" x14ac:dyDescent="0.3">
      <c r="B51" s="20">
        <f t="shared" si="0"/>
        <v>780</v>
      </c>
      <c r="C51" s="22">
        <f t="shared" si="1"/>
        <v>42.049929470399981</v>
      </c>
    </row>
    <row r="52" spans="2:3" ht="19.95" customHeight="1" x14ac:dyDescent="0.3">
      <c r="B52" s="20">
        <f t="shared" si="0"/>
        <v>790</v>
      </c>
      <c r="C52" s="22">
        <f t="shared" si="1"/>
        <v>41.746721367899987</v>
      </c>
    </row>
    <row r="53" spans="2:3" ht="19.95" customHeight="1" x14ac:dyDescent="0.3">
      <c r="B53" s="20">
        <f t="shared" si="0"/>
        <v>800</v>
      </c>
      <c r="C53" s="22">
        <f t="shared" si="1"/>
        <v>41.454063999999995</v>
      </c>
    </row>
    <row r="54" spans="2:3" ht="19.95" customHeight="1" x14ac:dyDescent="0.3">
      <c r="B54" s="20">
        <f t="shared" si="0"/>
        <v>810</v>
      </c>
      <c r="C54" s="22">
        <f t="shared" si="1"/>
        <v>41.172211143899986</v>
      </c>
    </row>
    <row r="55" spans="2:3" ht="19.95" customHeight="1" x14ac:dyDescent="0.3">
      <c r="B55" s="20">
        <f t="shared" si="0"/>
        <v>820</v>
      </c>
      <c r="C55" s="22">
        <f t="shared" si="1"/>
        <v>40.901409278399996</v>
      </c>
    </row>
    <row r="56" spans="2:3" ht="19.95" customHeight="1" x14ac:dyDescent="0.3">
      <c r="B56" s="20">
        <f t="shared" si="0"/>
        <v>830</v>
      </c>
      <c r="C56" s="22">
        <f t="shared" si="1"/>
        <v>40.641897583900011</v>
      </c>
    </row>
    <row r="57" spans="2:3" ht="19.95" customHeight="1" x14ac:dyDescent="0.3">
      <c r="B57" s="20">
        <f t="shared" si="0"/>
        <v>840</v>
      </c>
      <c r="C57" s="22">
        <f t="shared" si="1"/>
        <v>40.393907942399991</v>
      </c>
    </row>
    <row r="58" spans="2:3" ht="19.95" customHeight="1" x14ac:dyDescent="0.3">
      <c r="B58" s="20">
        <f t="shared" si="0"/>
        <v>850</v>
      </c>
      <c r="C58" s="22">
        <f t="shared" si="1"/>
        <v>40.157664937499987</v>
      </c>
    </row>
    <row r="59" spans="2:3" ht="19.95" customHeight="1" x14ac:dyDescent="0.3">
      <c r="B59" s="20">
        <f t="shared" si="0"/>
        <v>860</v>
      </c>
      <c r="C59" s="22">
        <f t="shared" si="1"/>
        <v>39.933385854400001</v>
      </c>
    </row>
    <row r="60" spans="2:3" ht="19.95" customHeight="1" x14ac:dyDescent="0.3">
      <c r="B60" s="20">
        <f t="shared" si="0"/>
        <v>870</v>
      </c>
      <c r="C60" s="22">
        <f t="shared" si="1"/>
        <v>39.721280679899984</v>
      </c>
    </row>
    <row r="61" spans="2:3" ht="19.95" customHeight="1" x14ac:dyDescent="0.3">
      <c r="B61" s="20">
        <f t="shared" si="0"/>
        <v>880</v>
      </c>
      <c r="C61" s="22">
        <f t="shared" si="1"/>
        <v>39.52155210239998</v>
      </c>
    </row>
    <row r="62" spans="2:3" ht="19.95" customHeight="1" x14ac:dyDescent="0.3">
      <c r="B62" s="20">
        <f t="shared" si="0"/>
        <v>890</v>
      </c>
      <c r="C62" s="22">
        <f t="shared" si="1"/>
        <v>39.334395511899984</v>
      </c>
    </row>
    <row r="63" spans="2:3" ht="19.95" customHeight="1" x14ac:dyDescent="0.3">
      <c r="B63" s="20">
        <f t="shared" si="0"/>
        <v>900</v>
      </c>
      <c r="C63" s="22">
        <f t="shared" si="1"/>
        <v>39.159998999999999</v>
      </c>
    </row>
    <row r="64" spans="2:3" ht="19.95" customHeight="1" x14ac:dyDescent="0.3">
      <c r="B64" s="20">
        <f t="shared" si="0"/>
        <v>910</v>
      </c>
      <c r="C64" s="22">
        <f t="shared" si="1"/>
        <v>38.998543359899983</v>
      </c>
    </row>
    <row r="65" spans="2:3" ht="19.95" customHeight="1" x14ac:dyDescent="0.3">
      <c r="B65" s="20">
        <f t="shared" si="0"/>
        <v>920</v>
      </c>
      <c r="C65" s="22">
        <f t="shared" si="1"/>
        <v>38.85020208640001</v>
      </c>
    </row>
    <row r="66" spans="2:3" ht="19.95" customHeight="1" x14ac:dyDescent="0.3">
      <c r="B66" s="20">
        <f t="shared" si="0"/>
        <v>930</v>
      </c>
      <c r="C66" s="22">
        <f t="shared" si="1"/>
        <v>38.715141375899975</v>
      </c>
    </row>
    <row r="67" spans="2:3" ht="19.95" customHeight="1" x14ac:dyDescent="0.3">
      <c r="B67" s="20">
        <f t="shared" ref="B67:B130" si="2">B66+10</f>
        <v>940</v>
      </c>
      <c r="C67" s="22">
        <f t="shared" si="1"/>
        <v>38.593520126399994</v>
      </c>
    </row>
    <row r="68" spans="2:3" ht="19.95" customHeight="1" x14ac:dyDescent="0.3">
      <c r="B68" s="20">
        <f t="shared" si="2"/>
        <v>950</v>
      </c>
      <c r="C68" s="22">
        <f t="shared" si="1"/>
        <v>38.485489937500006</v>
      </c>
    </row>
    <row r="69" spans="2:3" ht="19.95" customHeight="1" x14ac:dyDescent="0.3">
      <c r="B69" s="20">
        <f t="shared" si="2"/>
        <v>960</v>
      </c>
      <c r="C69" s="22">
        <f t="shared" ref="C69:C132" si="3">65.214+0.02715*B69-0.0001628*B69^2+0.000000139*B69^3-0.00000000003041*B69^4</f>
        <v>38.391195110399977</v>
      </c>
    </row>
    <row r="70" spans="2:3" ht="19.95" customHeight="1" x14ac:dyDescent="0.3">
      <c r="B70" s="20">
        <f t="shared" si="2"/>
        <v>970</v>
      </c>
      <c r="C70" s="22">
        <f t="shared" si="3"/>
        <v>38.310772647899988</v>
      </c>
    </row>
    <row r="71" spans="2:3" ht="19.95" customHeight="1" x14ac:dyDescent="0.3">
      <c r="B71" s="20">
        <f t="shared" si="2"/>
        <v>980</v>
      </c>
      <c r="C71" s="22">
        <f t="shared" si="3"/>
        <v>38.244352254399992</v>
      </c>
    </row>
    <row r="72" spans="2:3" ht="19.95" customHeight="1" x14ac:dyDescent="0.3">
      <c r="B72" s="20">
        <f t="shared" si="2"/>
        <v>990</v>
      </c>
      <c r="C72" s="22">
        <f t="shared" si="3"/>
        <v>38.192056335899977</v>
      </c>
    </row>
    <row r="73" spans="2:3" ht="19.95" customHeight="1" x14ac:dyDescent="0.3">
      <c r="B73" s="20">
        <f t="shared" si="2"/>
        <v>1000</v>
      </c>
      <c r="C73" s="22">
        <f t="shared" si="3"/>
        <v>38.153999999999996</v>
      </c>
    </row>
    <row r="74" spans="2:3" ht="19.95" customHeight="1" x14ac:dyDescent="0.3">
      <c r="B74" s="20">
        <f t="shared" si="2"/>
        <v>1010</v>
      </c>
      <c r="C74" s="22">
        <f t="shared" si="3"/>
        <v>38.130291055900003</v>
      </c>
    </row>
    <row r="75" spans="2:3" ht="19.95" customHeight="1" x14ac:dyDescent="0.3">
      <c r="B75" s="20">
        <f t="shared" si="2"/>
        <v>1020</v>
      </c>
      <c r="C75" s="22">
        <f t="shared" si="3"/>
        <v>38.121030014399977</v>
      </c>
    </row>
    <row r="76" spans="2:3" ht="19.95" customHeight="1" x14ac:dyDescent="0.3">
      <c r="B76" s="20">
        <f t="shared" si="2"/>
        <v>1030</v>
      </c>
      <c r="C76" s="22">
        <f t="shared" si="3"/>
        <v>38.126310087899995</v>
      </c>
    </row>
    <row r="77" spans="2:3" ht="19.95" customHeight="1" x14ac:dyDescent="0.3">
      <c r="B77" s="20">
        <f t="shared" si="2"/>
        <v>1040</v>
      </c>
      <c r="C77" s="22">
        <f t="shared" si="3"/>
        <v>38.146217190399966</v>
      </c>
    </row>
    <row r="78" spans="2:3" ht="19.95" customHeight="1" x14ac:dyDescent="0.3">
      <c r="B78" s="20">
        <f t="shared" si="2"/>
        <v>1050</v>
      </c>
      <c r="C78" s="22">
        <f t="shared" si="3"/>
        <v>38.180829937499993</v>
      </c>
    </row>
    <row r="79" spans="2:3" ht="19.95" customHeight="1" x14ac:dyDescent="0.3">
      <c r="B79" s="20">
        <f t="shared" si="2"/>
        <v>1060</v>
      </c>
      <c r="C79" s="22">
        <f t="shared" si="3"/>
        <v>38.230219646399988</v>
      </c>
    </row>
    <row r="80" spans="2:3" ht="19.95" customHeight="1" x14ac:dyDescent="0.3">
      <c r="B80" s="20">
        <f t="shared" si="2"/>
        <v>1070</v>
      </c>
      <c r="C80" s="22">
        <f t="shared" si="3"/>
        <v>38.294450335899967</v>
      </c>
    </row>
    <row r="81" spans="2:3" ht="19.95" customHeight="1" x14ac:dyDescent="0.3">
      <c r="B81" s="20">
        <f t="shared" si="2"/>
        <v>1080</v>
      </c>
      <c r="C81" s="22">
        <f t="shared" si="3"/>
        <v>38.373578726399998</v>
      </c>
    </row>
    <row r="82" spans="2:3" ht="19.95" customHeight="1" x14ac:dyDescent="0.3">
      <c r="B82" s="20">
        <f t="shared" si="2"/>
        <v>1090</v>
      </c>
      <c r="C82" s="22">
        <f t="shared" si="3"/>
        <v>38.467654239899979</v>
      </c>
    </row>
    <row r="83" spans="2:3" ht="19.95" customHeight="1" x14ac:dyDescent="0.3">
      <c r="B83" s="20">
        <f t="shared" si="2"/>
        <v>1100</v>
      </c>
      <c r="C83" s="22">
        <f t="shared" si="3"/>
        <v>38.57671899999999</v>
      </c>
    </row>
    <row r="84" spans="2:3" ht="19.95" customHeight="1" x14ac:dyDescent="0.3">
      <c r="B84" s="20">
        <f t="shared" si="2"/>
        <v>1110</v>
      </c>
      <c r="C84" s="22">
        <f t="shared" si="3"/>
        <v>38.700807831899986</v>
      </c>
    </row>
    <row r="85" spans="2:3" ht="19.95" customHeight="1" x14ac:dyDescent="0.3">
      <c r="B85" s="20">
        <f t="shared" si="2"/>
        <v>1120</v>
      </c>
      <c r="C85" s="22">
        <f t="shared" si="3"/>
        <v>38.839948262399993</v>
      </c>
    </row>
    <row r="86" spans="2:3" ht="19.95" customHeight="1" x14ac:dyDescent="0.3">
      <c r="B86" s="20">
        <f t="shared" si="2"/>
        <v>1130</v>
      </c>
      <c r="C86" s="22">
        <f t="shared" si="3"/>
        <v>38.994160519899985</v>
      </c>
    </row>
    <row r="87" spans="2:3" ht="19.95" customHeight="1" x14ac:dyDescent="0.3">
      <c r="B87" s="20">
        <f t="shared" si="2"/>
        <v>1140</v>
      </c>
      <c r="C87" s="22">
        <f t="shared" si="3"/>
        <v>39.16345753439996</v>
      </c>
    </row>
    <row r="88" spans="2:3" ht="19.95" customHeight="1" x14ac:dyDescent="0.3">
      <c r="B88" s="20">
        <f t="shared" si="2"/>
        <v>1150</v>
      </c>
      <c r="C88" s="22">
        <f t="shared" si="3"/>
        <v>39.347844937499964</v>
      </c>
    </row>
    <row r="89" spans="2:3" ht="19.95" customHeight="1" x14ac:dyDescent="0.3">
      <c r="B89" s="20">
        <f t="shared" si="2"/>
        <v>1160</v>
      </c>
      <c r="C89" s="22">
        <f t="shared" si="3"/>
        <v>39.54732106239998</v>
      </c>
    </row>
    <row r="90" spans="2:3" ht="19.95" customHeight="1" x14ac:dyDescent="0.3">
      <c r="B90" s="20">
        <f t="shared" si="2"/>
        <v>1170</v>
      </c>
      <c r="C90" s="22">
        <f t="shared" si="3"/>
        <v>39.761876943899978</v>
      </c>
    </row>
    <row r="91" spans="2:3" ht="19.95" customHeight="1" x14ac:dyDescent="0.3">
      <c r="B91" s="20">
        <f t="shared" si="2"/>
        <v>1180</v>
      </c>
      <c r="C91" s="22">
        <f t="shared" si="3"/>
        <v>39.991496318399989</v>
      </c>
    </row>
    <row r="92" spans="2:3" ht="19.95" customHeight="1" x14ac:dyDescent="0.3">
      <c r="B92" s="20">
        <f t="shared" si="2"/>
        <v>1190</v>
      </c>
      <c r="C92" s="22">
        <f t="shared" si="3"/>
        <v>40.236155623899975</v>
      </c>
    </row>
    <row r="93" spans="2:3" ht="19.95" customHeight="1" x14ac:dyDescent="0.3">
      <c r="B93" s="20">
        <f t="shared" si="2"/>
        <v>1200</v>
      </c>
      <c r="C93" s="22">
        <f t="shared" si="3"/>
        <v>40.495823999999999</v>
      </c>
    </row>
    <row r="94" spans="2:3" ht="19.95" customHeight="1" x14ac:dyDescent="0.3">
      <c r="B94" s="20">
        <f t="shared" si="2"/>
        <v>1210</v>
      </c>
      <c r="C94" s="22">
        <f t="shared" si="3"/>
        <v>40.770463287899958</v>
      </c>
    </row>
    <row r="95" spans="2:3" ht="19.95" customHeight="1" x14ac:dyDescent="0.3">
      <c r="B95" s="20">
        <f t="shared" si="2"/>
        <v>1220</v>
      </c>
      <c r="C95" s="22">
        <f t="shared" si="3"/>
        <v>41.060028030399963</v>
      </c>
    </row>
    <row r="96" spans="2:3" ht="19.95" customHeight="1" x14ac:dyDescent="0.3">
      <c r="B96" s="20">
        <f t="shared" si="2"/>
        <v>1230</v>
      </c>
      <c r="C96" s="22">
        <f t="shared" si="3"/>
        <v>41.364465471899976</v>
      </c>
    </row>
    <row r="97" spans="2:3" ht="19.95" customHeight="1" x14ac:dyDescent="0.3">
      <c r="B97" s="20">
        <f t="shared" si="2"/>
        <v>1240</v>
      </c>
      <c r="C97" s="22">
        <f t="shared" si="3"/>
        <v>41.683715558399996</v>
      </c>
    </row>
    <row r="98" spans="2:3" ht="19.95" customHeight="1" x14ac:dyDescent="0.3">
      <c r="B98" s="20">
        <f t="shared" si="2"/>
        <v>1250</v>
      </c>
      <c r="C98" s="22">
        <f t="shared" si="3"/>
        <v>42.017710937499999</v>
      </c>
    </row>
    <row r="99" spans="2:3" ht="19.95" customHeight="1" x14ac:dyDescent="0.3">
      <c r="B99" s="20">
        <f t="shared" si="2"/>
        <v>1260</v>
      </c>
      <c r="C99" s="22">
        <f t="shared" si="3"/>
        <v>42.366376958399997</v>
      </c>
    </row>
    <row r="100" spans="2:3" ht="19.95" customHeight="1" x14ac:dyDescent="0.3">
      <c r="B100" s="20">
        <f t="shared" si="2"/>
        <v>1270</v>
      </c>
      <c r="C100" s="22">
        <f t="shared" si="3"/>
        <v>42.729631671899966</v>
      </c>
    </row>
    <row r="101" spans="2:3" ht="19.95" customHeight="1" x14ac:dyDescent="0.3">
      <c r="B101" s="20">
        <f t="shared" si="2"/>
        <v>1280</v>
      </c>
      <c r="C101" s="22">
        <f t="shared" si="3"/>
        <v>43.107385830399991</v>
      </c>
    </row>
    <row r="102" spans="2:3" ht="19.95" customHeight="1" x14ac:dyDescent="0.3">
      <c r="B102" s="20">
        <f t="shared" si="2"/>
        <v>1290</v>
      </c>
      <c r="C102" s="22">
        <f t="shared" si="3"/>
        <v>43.499542887900006</v>
      </c>
    </row>
    <row r="103" spans="2:3" ht="19.95" customHeight="1" x14ac:dyDescent="0.3">
      <c r="B103" s="20">
        <f t="shared" si="2"/>
        <v>1300</v>
      </c>
      <c r="C103" s="22">
        <f t="shared" si="3"/>
        <v>43.90599899999998</v>
      </c>
    </row>
    <row r="104" spans="2:3" ht="19.95" customHeight="1" x14ac:dyDescent="0.3">
      <c r="B104" s="20">
        <f t="shared" si="2"/>
        <v>1310</v>
      </c>
      <c r="C104" s="22">
        <f t="shared" si="3"/>
        <v>44.326643023899976</v>
      </c>
    </row>
    <row r="105" spans="2:3" ht="19.95" customHeight="1" x14ac:dyDescent="0.3">
      <c r="B105" s="20">
        <f t="shared" si="2"/>
        <v>1320</v>
      </c>
      <c r="C105" s="22">
        <f t="shared" si="3"/>
        <v>44.761356518399978</v>
      </c>
    </row>
    <row r="106" spans="2:3" ht="19.95" customHeight="1" x14ac:dyDescent="0.3">
      <c r="B106" s="20">
        <f t="shared" si="2"/>
        <v>1330</v>
      </c>
      <c r="C106" s="22">
        <f t="shared" si="3"/>
        <v>45.210013743899935</v>
      </c>
    </row>
    <row r="107" spans="2:3" ht="19.95" customHeight="1" x14ac:dyDescent="0.3">
      <c r="B107" s="20">
        <f t="shared" si="2"/>
        <v>1340</v>
      </c>
      <c r="C107" s="22">
        <f t="shared" si="3"/>
        <v>45.672481662399932</v>
      </c>
    </row>
    <row r="108" spans="2:3" ht="19.95" customHeight="1" x14ac:dyDescent="0.3">
      <c r="B108" s="20">
        <f t="shared" si="2"/>
        <v>1350</v>
      </c>
      <c r="C108" s="22">
        <f t="shared" si="3"/>
        <v>46.148619937500015</v>
      </c>
    </row>
    <row r="109" spans="2:3" ht="19.95" customHeight="1" x14ac:dyDescent="0.3">
      <c r="B109" s="20">
        <f t="shared" si="2"/>
        <v>1360</v>
      </c>
      <c r="C109" s="22">
        <f t="shared" si="3"/>
        <v>46.63828093439993</v>
      </c>
    </row>
    <row r="110" spans="2:3" ht="19.95" customHeight="1" x14ac:dyDescent="0.3">
      <c r="B110" s="20">
        <f t="shared" si="2"/>
        <v>1370</v>
      </c>
      <c r="C110" s="22">
        <f t="shared" si="3"/>
        <v>47.141309719899937</v>
      </c>
    </row>
    <row r="111" spans="2:3" ht="19.95" customHeight="1" x14ac:dyDescent="0.3">
      <c r="B111" s="20">
        <f t="shared" si="2"/>
        <v>1380</v>
      </c>
      <c r="C111" s="22">
        <f t="shared" si="3"/>
        <v>47.657544062399936</v>
      </c>
    </row>
    <row r="112" spans="2:3" ht="19.95" customHeight="1" x14ac:dyDescent="0.3">
      <c r="B112" s="20">
        <f t="shared" si="2"/>
        <v>1390</v>
      </c>
      <c r="C112" s="22">
        <f t="shared" si="3"/>
        <v>48.186814431899904</v>
      </c>
    </row>
    <row r="113" spans="2:3" ht="19.95" customHeight="1" x14ac:dyDescent="0.3">
      <c r="B113" s="20">
        <f t="shared" si="2"/>
        <v>1400</v>
      </c>
      <c r="C113" s="22">
        <f t="shared" si="3"/>
        <v>48.728943999999899</v>
      </c>
    </row>
    <row r="114" spans="2:3" ht="19.95" customHeight="1" x14ac:dyDescent="0.3">
      <c r="B114" s="20">
        <f t="shared" si="2"/>
        <v>1410</v>
      </c>
      <c r="C114" s="22">
        <f t="shared" si="3"/>
        <v>49.283748639899898</v>
      </c>
    </row>
    <row r="115" spans="2:3" ht="19.95" customHeight="1" x14ac:dyDescent="0.3">
      <c r="B115" s="20">
        <f t="shared" si="2"/>
        <v>1420</v>
      </c>
      <c r="C115" s="22">
        <f t="shared" si="3"/>
        <v>49.851036926399971</v>
      </c>
    </row>
    <row r="116" spans="2:3" ht="19.95" customHeight="1" x14ac:dyDescent="0.3">
      <c r="B116" s="20">
        <f t="shared" si="2"/>
        <v>1430</v>
      </c>
      <c r="C116" s="22">
        <f t="shared" si="3"/>
        <v>50.430610135899983</v>
      </c>
    </row>
    <row r="117" spans="2:3" ht="19.95" customHeight="1" x14ac:dyDescent="0.3">
      <c r="B117" s="20">
        <f t="shared" si="2"/>
        <v>1440</v>
      </c>
      <c r="C117" s="22">
        <f t="shared" si="3"/>
        <v>51.022262246399947</v>
      </c>
    </row>
    <row r="118" spans="2:3" ht="19.95" customHeight="1" x14ac:dyDescent="0.3">
      <c r="B118" s="20">
        <f t="shared" si="2"/>
        <v>1450</v>
      </c>
      <c r="C118" s="22">
        <f t="shared" si="3"/>
        <v>51.625779937499999</v>
      </c>
    </row>
    <row r="119" spans="2:3" ht="19.95" customHeight="1" x14ac:dyDescent="0.3">
      <c r="B119" s="20">
        <f t="shared" si="2"/>
        <v>1460</v>
      </c>
      <c r="C119" s="22">
        <f t="shared" si="3"/>
        <v>52.240942590399953</v>
      </c>
    </row>
    <row r="120" spans="2:3" ht="19.95" customHeight="1" x14ac:dyDescent="0.3">
      <c r="B120" s="20">
        <f t="shared" si="2"/>
        <v>1470</v>
      </c>
      <c r="C120" s="22">
        <f t="shared" si="3"/>
        <v>52.867522287899988</v>
      </c>
    </row>
    <row r="121" spans="2:3" ht="19.95" customHeight="1" x14ac:dyDescent="0.3">
      <c r="B121" s="20">
        <f t="shared" si="2"/>
        <v>1480</v>
      </c>
      <c r="C121" s="22">
        <f t="shared" si="3"/>
        <v>53.505283814399974</v>
      </c>
    </row>
    <row r="122" spans="2:3" ht="19.95" customHeight="1" x14ac:dyDescent="0.3">
      <c r="B122" s="20">
        <f t="shared" si="2"/>
        <v>1490</v>
      </c>
      <c r="C122" s="22">
        <f t="shared" si="3"/>
        <v>54.153984655899933</v>
      </c>
    </row>
    <row r="123" spans="2:3" ht="19.95" customHeight="1" x14ac:dyDescent="0.3">
      <c r="B123" s="20">
        <f t="shared" si="2"/>
        <v>1500</v>
      </c>
      <c r="C123" s="22">
        <f t="shared" si="3"/>
        <v>54.813374999999951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2:C8"/>
  <sheetViews>
    <sheetView showGridLines="0" workbookViewId="0">
      <selection activeCell="K27" sqref="K27"/>
    </sheetView>
  </sheetViews>
  <sheetFormatPr defaultRowHeight="19.95" customHeight="1" x14ac:dyDescent="0.3"/>
  <cols>
    <col min="1" max="2" width="8.796875" style="54"/>
    <col min="3" max="3" width="18" style="54" bestFit="1" customWidth="1"/>
    <col min="4" max="16384" width="8.796875" style="54"/>
  </cols>
  <sheetData>
    <row r="2" spans="2:3" ht="19.95" customHeight="1" x14ac:dyDescent="0.3">
      <c r="B2" s="38" t="s">
        <v>24</v>
      </c>
      <c r="C2" s="38" t="s">
        <v>34</v>
      </c>
    </row>
    <row r="3" spans="2:3" ht="19.95" customHeight="1" x14ac:dyDescent="0.3">
      <c r="B3" s="20">
        <v>300</v>
      </c>
      <c r="C3" s="20">
        <v>0.69</v>
      </c>
    </row>
    <row r="4" spans="2:3" ht="19.95" customHeight="1" x14ac:dyDescent="0.3">
      <c r="B4" s="20">
        <v>590</v>
      </c>
      <c r="C4" s="20">
        <v>0.69</v>
      </c>
    </row>
    <row r="5" spans="2:3" ht="19.95" customHeight="1" x14ac:dyDescent="0.3">
      <c r="B5" s="20">
        <v>920</v>
      </c>
      <c r="C5" s="20">
        <v>0.72</v>
      </c>
    </row>
    <row r="6" spans="2:3" ht="19.95" customHeight="1" x14ac:dyDescent="0.3">
      <c r="B6" s="20">
        <v>1090</v>
      </c>
      <c r="C6" s="20">
        <v>0.76</v>
      </c>
    </row>
    <row r="7" spans="2:3" ht="19.95" customHeight="1" x14ac:dyDescent="0.3">
      <c r="B7" s="20">
        <v>1255</v>
      </c>
      <c r="C7" s="20">
        <v>0.79</v>
      </c>
    </row>
    <row r="8" spans="2:3" ht="19.95" customHeight="1" x14ac:dyDescent="0.3">
      <c r="B8" s="20">
        <v>1500</v>
      </c>
      <c r="C8" s="20">
        <v>0.82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rgb="FFFF0000"/>
  </sheetPr>
  <dimension ref="A1:W964"/>
  <sheetViews>
    <sheetView showGridLines="0" topLeftCell="I1" workbookViewId="0">
      <selection activeCell="K25" sqref="K25"/>
    </sheetView>
  </sheetViews>
  <sheetFormatPr defaultRowHeight="15.6" x14ac:dyDescent="0.3"/>
  <cols>
    <col min="1" max="1" width="8.796875" style="1"/>
    <col min="2" max="2" width="16.3984375" style="1" bestFit="1" customWidth="1"/>
    <col min="3" max="4" width="8.69921875" style="2" customWidth="1"/>
    <col min="5" max="7" width="12.69921875" style="2" customWidth="1"/>
    <col min="8" max="8" width="18.796875" style="1" bestFit="1" customWidth="1"/>
    <col min="9" max="9" width="8.796875" style="1"/>
    <col min="10" max="10" width="17.69921875" style="1" bestFit="1" customWidth="1"/>
    <col min="11" max="12" width="8.69921875" style="1" customWidth="1"/>
    <col min="13" max="15" width="12.69921875" style="1" customWidth="1"/>
    <col min="16" max="17" width="8.796875" style="1"/>
    <col min="18" max="18" width="17.69921875" style="1" bestFit="1" customWidth="1"/>
    <col min="19" max="20" width="8.69921875" style="1" customWidth="1"/>
    <col min="21" max="23" width="12.69921875" style="1" customWidth="1"/>
    <col min="24" max="16384" width="8.796875" style="1"/>
  </cols>
  <sheetData>
    <row r="1" spans="2:23" ht="16.2" thickBot="1" x14ac:dyDescent="0.35"/>
    <row r="2" spans="2:23" x14ac:dyDescent="0.3">
      <c r="H2" s="7" t="s">
        <v>8</v>
      </c>
      <c r="J2" s="10" t="s">
        <v>17</v>
      </c>
      <c r="K2" s="11"/>
      <c r="L2" s="4"/>
      <c r="R2"/>
      <c r="S2"/>
      <c r="T2"/>
    </row>
    <row r="3" spans="2:23" x14ac:dyDescent="0.3">
      <c r="H3" s="8" t="s">
        <v>9</v>
      </c>
      <c r="J3" s="12"/>
      <c r="K3" s="13" t="s">
        <v>6</v>
      </c>
      <c r="L3" s="14" t="s">
        <v>7</v>
      </c>
      <c r="R3"/>
      <c r="S3"/>
      <c r="T3"/>
    </row>
    <row r="4" spans="2:23" x14ac:dyDescent="0.3">
      <c r="H4" s="8" t="s">
        <v>10</v>
      </c>
      <c r="J4" s="12">
        <v>1</v>
      </c>
      <c r="K4" s="15">
        <v>0.25</v>
      </c>
      <c r="L4" s="16">
        <v>0.15</v>
      </c>
      <c r="R4"/>
      <c r="S4"/>
      <c r="T4"/>
    </row>
    <row r="5" spans="2:23" x14ac:dyDescent="0.3">
      <c r="H5" s="8" t="s">
        <v>11</v>
      </c>
      <c r="J5" s="12">
        <v>2</v>
      </c>
      <c r="K5" s="15">
        <v>0.5</v>
      </c>
      <c r="L5" s="16">
        <v>0.15</v>
      </c>
      <c r="R5"/>
      <c r="S5"/>
      <c r="T5"/>
    </row>
    <row r="6" spans="2:23" ht="16.2" thickBot="1" x14ac:dyDescent="0.35">
      <c r="H6" s="9" t="s">
        <v>12</v>
      </c>
      <c r="J6" s="12">
        <v>3</v>
      </c>
      <c r="K6" s="15">
        <v>0.75</v>
      </c>
      <c r="L6" s="16">
        <v>0.15</v>
      </c>
      <c r="R6"/>
      <c r="S6"/>
      <c r="T6"/>
    </row>
    <row r="7" spans="2:23" x14ac:dyDescent="0.3">
      <c r="J7" s="12">
        <v>4</v>
      </c>
      <c r="K7" s="15">
        <v>0.25</v>
      </c>
      <c r="L7" s="16">
        <v>0.1</v>
      </c>
      <c r="R7"/>
      <c r="S7"/>
      <c r="T7"/>
    </row>
    <row r="8" spans="2:23" x14ac:dyDescent="0.3">
      <c r="J8" s="12">
        <v>5</v>
      </c>
      <c r="K8" s="15">
        <v>0.5</v>
      </c>
      <c r="L8" s="16">
        <v>0.1</v>
      </c>
      <c r="R8"/>
      <c r="S8"/>
      <c r="T8"/>
    </row>
    <row r="9" spans="2:23" x14ac:dyDescent="0.3">
      <c r="J9" s="12">
        <v>6</v>
      </c>
      <c r="K9" s="15">
        <v>0.75</v>
      </c>
      <c r="L9" s="16">
        <v>0.1</v>
      </c>
      <c r="R9"/>
      <c r="S9"/>
      <c r="T9"/>
    </row>
    <row r="10" spans="2:23" x14ac:dyDescent="0.3">
      <c r="J10" s="12">
        <v>7</v>
      </c>
      <c r="K10" s="15">
        <v>0.25</v>
      </c>
      <c r="L10" s="16">
        <v>0.05</v>
      </c>
      <c r="R10"/>
      <c r="S10"/>
      <c r="T10"/>
    </row>
    <row r="11" spans="2:23" x14ac:dyDescent="0.3">
      <c r="J11" s="12">
        <v>8</v>
      </c>
      <c r="K11" s="15">
        <v>0.5</v>
      </c>
      <c r="L11" s="16">
        <v>0.05</v>
      </c>
      <c r="R11"/>
      <c r="S11"/>
      <c r="T11"/>
    </row>
    <row r="12" spans="2:23" ht="16.2" thickBot="1" x14ac:dyDescent="0.35">
      <c r="J12" s="17">
        <v>9</v>
      </c>
      <c r="K12" s="18">
        <v>0.75</v>
      </c>
      <c r="L12" s="19">
        <v>0.05</v>
      </c>
      <c r="R12"/>
      <c r="S12"/>
      <c r="T12"/>
    </row>
    <row r="15" spans="2:23" ht="16.2" thickBot="1" x14ac:dyDescent="0.35">
      <c r="B15" s="1" t="s">
        <v>19</v>
      </c>
      <c r="C15" s="42" t="s">
        <v>20</v>
      </c>
      <c r="D15" s="42"/>
      <c r="E15" s="42"/>
      <c r="J15" s="1" t="s">
        <v>19</v>
      </c>
      <c r="K15" s="42" t="s">
        <v>21</v>
      </c>
      <c r="L15" s="42"/>
      <c r="M15" s="42"/>
      <c r="N15" s="2"/>
      <c r="O15" s="2"/>
      <c r="R15" s="1" t="s">
        <v>19</v>
      </c>
      <c r="S15" s="42" t="s">
        <v>22</v>
      </c>
      <c r="T15" s="42"/>
      <c r="U15" s="42"/>
      <c r="V15" s="2"/>
      <c r="W15" s="2"/>
    </row>
    <row r="16" spans="2:23" x14ac:dyDescent="0.3">
      <c r="B16" s="3"/>
      <c r="C16" s="31" t="s">
        <v>6</v>
      </c>
      <c r="D16" s="30" t="s">
        <v>7</v>
      </c>
      <c r="E16" s="28"/>
      <c r="J16" s="3"/>
      <c r="K16" s="31" t="s">
        <v>6</v>
      </c>
      <c r="L16" s="30" t="s">
        <v>7</v>
      </c>
      <c r="M16" s="28"/>
      <c r="N16" s="2"/>
      <c r="O16" s="2"/>
      <c r="R16" s="3"/>
      <c r="S16" s="31" t="s">
        <v>6</v>
      </c>
      <c r="T16" s="30" t="s">
        <v>7</v>
      </c>
      <c r="U16" s="28"/>
      <c r="V16" s="2"/>
      <c r="W16" s="2"/>
    </row>
    <row r="17" spans="2:23" ht="16.2" thickBot="1" x14ac:dyDescent="0.35">
      <c r="B17" s="25" t="s">
        <v>13</v>
      </c>
      <c r="C17" s="33">
        <v>241</v>
      </c>
      <c r="D17" s="34">
        <v>241</v>
      </c>
      <c r="E17" s="29"/>
      <c r="J17" s="25" t="s">
        <v>13</v>
      </c>
      <c r="K17" s="33">
        <v>121</v>
      </c>
      <c r="L17" s="34">
        <v>121</v>
      </c>
      <c r="M17" s="29"/>
      <c r="N17" s="2"/>
      <c r="O17" s="2"/>
      <c r="R17" s="25" t="s">
        <v>13</v>
      </c>
      <c r="S17" s="33">
        <v>61</v>
      </c>
      <c r="T17" s="34">
        <v>61</v>
      </c>
      <c r="U17" s="29"/>
      <c r="V17" s="2"/>
      <c r="W17" s="2"/>
    </row>
    <row r="18" spans="2:23" x14ac:dyDescent="0.3">
      <c r="B18" s="26" t="s">
        <v>14</v>
      </c>
      <c r="C18" s="35">
        <v>200</v>
      </c>
      <c r="D18" s="32"/>
      <c r="E18" s="29"/>
      <c r="J18" s="26" t="s">
        <v>14</v>
      </c>
      <c r="K18" s="35">
        <v>200</v>
      </c>
      <c r="L18" s="32"/>
      <c r="M18" s="29"/>
      <c r="N18" s="2"/>
      <c r="O18" s="2"/>
      <c r="R18" s="26" t="s">
        <v>14</v>
      </c>
      <c r="S18" s="35">
        <v>200</v>
      </c>
      <c r="T18" s="32"/>
      <c r="U18" s="29"/>
      <c r="V18" s="2"/>
      <c r="W18" s="2"/>
    </row>
    <row r="19" spans="2:23" ht="16.2" thickBot="1" x14ac:dyDescent="0.35">
      <c r="B19" s="26" t="s">
        <v>15</v>
      </c>
      <c r="C19" s="21" t="s">
        <v>12</v>
      </c>
      <c r="D19" s="32"/>
      <c r="E19" s="29"/>
      <c r="J19" s="26" t="s">
        <v>15</v>
      </c>
      <c r="K19" s="21" t="s">
        <v>12</v>
      </c>
      <c r="L19" s="32"/>
      <c r="M19" s="29"/>
      <c r="N19" s="2"/>
      <c r="O19" s="2"/>
      <c r="R19" s="26" t="s">
        <v>15</v>
      </c>
      <c r="S19" s="21" t="s">
        <v>12</v>
      </c>
      <c r="T19" s="32"/>
      <c r="U19" s="29"/>
      <c r="V19" s="2"/>
      <c r="W19" s="2"/>
    </row>
    <row r="20" spans="2:23" x14ac:dyDescent="0.3">
      <c r="B20" s="26" t="s">
        <v>16</v>
      </c>
      <c r="C20" s="36">
        <v>1E-3</v>
      </c>
      <c r="D20" s="31" t="s">
        <v>6</v>
      </c>
      <c r="E20" s="30" t="s">
        <v>7</v>
      </c>
      <c r="J20" s="26" t="s">
        <v>16</v>
      </c>
      <c r="K20" s="36">
        <v>1E-3</v>
      </c>
      <c r="L20" s="31" t="s">
        <v>6</v>
      </c>
      <c r="M20" s="30" t="s">
        <v>7</v>
      </c>
      <c r="N20" s="2"/>
      <c r="O20" s="2"/>
      <c r="R20" s="26" t="s">
        <v>16</v>
      </c>
      <c r="S20" s="36">
        <v>1E-3</v>
      </c>
      <c r="T20" s="31" t="s">
        <v>6</v>
      </c>
      <c r="U20" s="30" t="s">
        <v>7</v>
      </c>
      <c r="V20" s="2"/>
      <c r="W20" s="2"/>
    </row>
    <row r="21" spans="2:23" ht="16.2" thickBot="1" x14ac:dyDescent="0.35">
      <c r="B21" s="27" t="s">
        <v>18</v>
      </c>
      <c r="C21" s="37">
        <v>1</v>
      </c>
      <c r="D21" s="23">
        <f>VLOOKUP(C21,$J$4:$L$12,2,FALSE)</f>
        <v>0.25</v>
      </c>
      <c r="E21" s="24">
        <f>VLOOKUP(C21,$J$4:$L$12,3,FALSE)</f>
        <v>0.15</v>
      </c>
      <c r="J21" s="27" t="s">
        <v>18</v>
      </c>
      <c r="K21" s="37">
        <v>1</v>
      </c>
      <c r="L21" s="23">
        <f>VLOOKUP(K21,$J$4:$L$12,2,FALSE)</f>
        <v>0.25</v>
      </c>
      <c r="M21" s="24">
        <f>VLOOKUP(K21,$J$4:$L$12,3,FALSE)</f>
        <v>0.15</v>
      </c>
      <c r="N21" s="2"/>
      <c r="O21" s="2"/>
      <c r="R21" s="27" t="s">
        <v>18</v>
      </c>
      <c r="S21" s="37">
        <v>1</v>
      </c>
      <c r="T21" s="23">
        <f>VLOOKUP(S21,$J$4:$L$12,2,FALSE)</f>
        <v>0.25</v>
      </c>
      <c r="U21" s="24">
        <f>VLOOKUP(S21,$J$4:$L$12,3,FALSE)</f>
        <v>0.15</v>
      </c>
      <c r="V21" s="2"/>
      <c r="W21" s="2"/>
    </row>
    <row r="22" spans="2:23" x14ac:dyDescent="0.3">
      <c r="K22" s="2"/>
      <c r="L22" s="2"/>
      <c r="M22" s="2"/>
      <c r="N22" s="2"/>
      <c r="O22" s="2"/>
      <c r="S22" s="2"/>
      <c r="T22" s="2"/>
      <c r="U22" s="2"/>
      <c r="V22" s="2"/>
      <c r="W22" s="2"/>
    </row>
    <row r="23" spans="2:23" x14ac:dyDescent="0.3">
      <c r="B23" s="38" t="s">
        <v>0</v>
      </c>
      <c r="C23" s="39" t="s">
        <v>1</v>
      </c>
      <c r="D23" s="39" t="s">
        <v>2</v>
      </c>
      <c r="E23" s="39" t="s">
        <v>3</v>
      </c>
      <c r="F23" s="39" t="s">
        <v>4</v>
      </c>
      <c r="G23" s="39" t="s">
        <v>5</v>
      </c>
      <c r="J23" s="38" t="s">
        <v>0</v>
      </c>
      <c r="K23" s="39" t="s">
        <v>1</v>
      </c>
      <c r="L23" s="39" t="s">
        <v>2</v>
      </c>
      <c r="M23" s="39" t="s">
        <v>3</v>
      </c>
      <c r="N23" s="39" t="s">
        <v>4</v>
      </c>
      <c r="O23" s="39" t="s">
        <v>5</v>
      </c>
      <c r="R23" s="38" t="s">
        <v>0</v>
      </c>
      <c r="S23" s="39" t="s">
        <v>1</v>
      </c>
      <c r="T23" s="39" t="s">
        <v>2</v>
      </c>
      <c r="U23" s="39" t="s">
        <v>3</v>
      </c>
      <c r="V23" s="39" t="s">
        <v>4</v>
      </c>
      <c r="W23" s="39" t="s">
        <v>5</v>
      </c>
    </row>
    <row r="24" spans="2:23" x14ac:dyDescent="0.3">
      <c r="B24" s="6">
        <v>0</v>
      </c>
      <c r="C24" s="21">
        <v>0.25</v>
      </c>
      <c r="D24" s="21">
        <v>0.15</v>
      </c>
      <c r="E24" s="21">
        <v>300</v>
      </c>
      <c r="F24" s="21">
        <v>478.57299999999998</v>
      </c>
      <c r="G24" s="21">
        <v>62.213700000000003</v>
      </c>
      <c r="J24" s="1">
        <v>0</v>
      </c>
      <c r="K24" s="6">
        <v>0.25</v>
      </c>
      <c r="L24" s="21">
        <v>0.15</v>
      </c>
      <c r="M24" s="21">
        <v>300</v>
      </c>
      <c r="N24" s="21">
        <v>478.57299999999998</v>
      </c>
      <c r="O24" s="21">
        <v>62.213700000000003</v>
      </c>
      <c r="R24" s="1">
        <v>0</v>
      </c>
      <c r="S24" s="6">
        <v>0.25</v>
      </c>
      <c r="T24" s="21">
        <v>0.15</v>
      </c>
      <c r="U24" s="21">
        <v>300</v>
      </c>
      <c r="V24" s="21">
        <v>478.57299999999998</v>
      </c>
      <c r="W24" s="21">
        <v>62.213700000000003</v>
      </c>
    </row>
    <row r="25" spans="2:23" x14ac:dyDescent="0.3">
      <c r="B25" s="6">
        <v>200</v>
      </c>
      <c r="C25" s="21">
        <v>0.25</v>
      </c>
      <c r="D25" s="21">
        <v>0.15</v>
      </c>
      <c r="E25" s="21">
        <v>380.7432</v>
      </c>
      <c r="F25" s="21">
        <v>459.52429999999998</v>
      </c>
      <c r="G25" s="21">
        <v>58.983800000000002</v>
      </c>
      <c r="J25" s="6">
        <v>200</v>
      </c>
      <c r="K25" s="21">
        <v>0.25</v>
      </c>
      <c r="L25" s="21">
        <v>0.15</v>
      </c>
      <c r="M25" s="21">
        <v>383.44810000000001</v>
      </c>
      <c r="N25" s="21">
        <v>460.21449999999999</v>
      </c>
      <c r="O25" s="21">
        <v>58.866999999999997</v>
      </c>
      <c r="R25" s="6">
        <v>200</v>
      </c>
      <c r="S25" s="21">
        <v>0.25</v>
      </c>
      <c r="T25" s="21">
        <v>0.15</v>
      </c>
      <c r="U25" s="21">
        <v>383.7629</v>
      </c>
      <c r="V25" s="21">
        <v>460.2989</v>
      </c>
      <c r="W25" s="21">
        <v>58.853400000000001</v>
      </c>
    </row>
    <row r="26" spans="2:23" x14ac:dyDescent="0.3">
      <c r="B26" s="6">
        <v>400</v>
      </c>
      <c r="C26" s="21">
        <v>0.25</v>
      </c>
      <c r="D26" s="21">
        <v>0.15</v>
      </c>
      <c r="E26" s="21">
        <v>455.66370000000001</v>
      </c>
      <c r="F26" s="21">
        <v>495.92779999999999</v>
      </c>
      <c r="G26" s="21">
        <v>55.622900000000001</v>
      </c>
      <c r="J26" s="6">
        <v>400</v>
      </c>
      <c r="K26" s="21">
        <v>0.25</v>
      </c>
      <c r="L26" s="21">
        <v>0.15</v>
      </c>
      <c r="M26" s="21">
        <v>460.55709999999999</v>
      </c>
      <c r="N26" s="21">
        <v>499.1275</v>
      </c>
      <c r="O26" s="21">
        <v>55.396900000000002</v>
      </c>
      <c r="R26" s="6">
        <v>400</v>
      </c>
      <c r="S26" s="21">
        <v>0.25</v>
      </c>
      <c r="T26" s="21">
        <v>0.15</v>
      </c>
      <c r="U26" s="21">
        <v>461.14389999999997</v>
      </c>
      <c r="V26" s="21">
        <v>499.5147</v>
      </c>
      <c r="W26" s="21">
        <v>55.369700000000002</v>
      </c>
    </row>
    <row r="27" spans="2:23" x14ac:dyDescent="0.3">
      <c r="B27" s="6">
        <v>600</v>
      </c>
      <c r="C27" s="21">
        <v>0.25</v>
      </c>
      <c r="D27" s="21">
        <v>0.15</v>
      </c>
      <c r="E27" s="21">
        <v>520.10140000000001</v>
      </c>
      <c r="F27" s="21">
        <v>540.00419999999997</v>
      </c>
      <c r="G27" s="21">
        <v>52.627200000000002</v>
      </c>
      <c r="J27" s="6">
        <v>600</v>
      </c>
      <c r="K27" s="21">
        <v>0.25</v>
      </c>
      <c r="L27" s="21">
        <v>0.15</v>
      </c>
      <c r="M27" s="21">
        <v>526.86940000000004</v>
      </c>
      <c r="N27" s="21">
        <v>544.60199999999998</v>
      </c>
      <c r="O27" s="21">
        <v>52.3127</v>
      </c>
      <c r="R27" s="6">
        <v>600</v>
      </c>
      <c r="S27" s="21">
        <v>0.25</v>
      </c>
      <c r="T27" s="21">
        <v>0.15</v>
      </c>
      <c r="U27" s="21">
        <v>527.68799999999999</v>
      </c>
      <c r="V27" s="21">
        <v>545.15440000000001</v>
      </c>
      <c r="W27" s="21">
        <v>52.274700000000003</v>
      </c>
    </row>
    <row r="28" spans="2:23" x14ac:dyDescent="0.3">
      <c r="B28" s="6">
        <v>800</v>
      </c>
      <c r="C28" s="21">
        <v>0.25</v>
      </c>
      <c r="D28" s="21">
        <v>0.15</v>
      </c>
      <c r="E28" s="21">
        <v>576.83989999999994</v>
      </c>
      <c r="F28" s="21">
        <v>576.18259999999998</v>
      </c>
      <c r="G28" s="21">
        <v>50.017200000000003</v>
      </c>
      <c r="J28" s="6">
        <v>800</v>
      </c>
      <c r="K28" s="21">
        <v>0.25</v>
      </c>
      <c r="L28" s="21">
        <v>0.15</v>
      </c>
      <c r="M28" s="21">
        <v>585.28719999999998</v>
      </c>
      <c r="N28" s="21">
        <v>580.98649999999998</v>
      </c>
      <c r="O28" s="21">
        <v>49.636099999999999</v>
      </c>
      <c r="R28" s="6">
        <v>800</v>
      </c>
      <c r="S28" s="21">
        <v>0.25</v>
      </c>
      <c r="T28" s="21">
        <v>0.15</v>
      </c>
      <c r="U28" s="21">
        <v>586.30439999999999</v>
      </c>
      <c r="V28" s="21">
        <v>581.553</v>
      </c>
      <c r="W28" s="21">
        <v>49.590400000000002</v>
      </c>
    </row>
    <row r="29" spans="2:23" x14ac:dyDescent="0.3">
      <c r="B29" s="6">
        <v>1000</v>
      </c>
      <c r="C29" s="21">
        <v>0.25</v>
      </c>
      <c r="D29" s="21">
        <v>0.15</v>
      </c>
      <c r="E29" s="21">
        <v>627.91759999999999</v>
      </c>
      <c r="F29" s="21">
        <v>602.49400000000003</v>
      </c>
      <c r="G29" s="21">
        <v>47.758699999999997</v>
      </c>
      <c r="J29" s="6">
        <v>1000</v>
      </c>
      <c r="K29" s="21">
        <v>0.25</v>
      </c>
      <c r="L29" s="21">
        <v>0.15</v>
      </c>
      <c r="M29" s="21">
        <v>637.90769999999998</v>
      </c>
      <c r="N29" s="21">
        <v>606.88840000000005</v>
      </c>
      <c r="O29" s="21">
        <v>47.331899999999997</v>
      </c>
      <c r="R29" s="6">
        <v>1000</v>
      </c>
      <c r="S29" s="21">
        <v>0.25</v>
      </c>
      <c r="T29" s="21">
        <v>0.15</v>
      </c>
      <c r="U29" s="21">
        <v>639.10770000000002</v>
      </c>
      <c r="V29" s="21">
        <v>607.40099999999995</v>
      </c>
      <c r="W29" s="21">
        <v>47.280999999999999</v>
      </c>
    </row>
    <row r="30" spans="2:23" x14ac:dyDescent="0.3">
      <c r="B30" s="6">
        <v>1140</v>
      </c>
      <c r="C30" s="21">
        <v>0.25</v>
      </c>
      <c r="D30" s="21">
        <v>0.15</v>
      </c>
      <c r="E30" s="21">
        <v>661.41240000000005</v>
      </c>
      <c r="F30" s="21">
        <v>616.38679999999999</v>
      </c>
      <c r="G30" s="21">
        <v>46.351100000000002</v>
      </c>
      <c r="J30" s="6">
        <v>1140</v>
      </c>
      <c r="K30" s="21">
        <v>0.25</v>
      </c>
      <c r="L30" s="21">
        <v>0.15</v>
      </c>
      <c r="M30" s="21">
        <v>672.41300000000001</v>
      </c>
      <c r="N30" s="21">
        <v>620.49120000000005</v>
      </c>
      <c r="O30" s="21">
        <v>45.904400000000003</v>
      </c>
      <c r="R30" s="6">
        <v>1140</v>
      </c>
      <c r="S30" s="21">
        <v>0.25</v>
      </c>
      <c r="T30" s="21">
        <v>0.15</v>
      </c>
      <c r="U30" s="21">
        <v>673.73140000000001</v>
      </c>
      <c r="V30" s="21">
        <v>620.97130000000004</v>
      </c>
      <c r="W30" s="21">
        <v>45.851399999999998</v>
      </c>
    </row>
    <row r="31" spans="2:23" x14ac:dyDescent="0.3">
      <c r="B31" s="6">
        <v>1340</v>
      </c>
      <c r="C31" s="21">
        <v>0.25</v>
      </c>
      <c r="D31" s="21">
        <v>0.15</v>
      </c>
      <c r="E31" s="21">
        <v>729.14329999999995</v>
      </c>
      <c r="F31" s="21">
        <v>640.23559999999998</v>
      </c>
      <c r="G31" s="21">
        <v>43.745399999999997</v>
      </c>
      <c r="J31" s="6">
        <v>1340</v>
      </c>
      <c r="K31" s="21">
        <v>0.25</v>
      </c>
      <c r="L31" s="21">
        <v>0.15</v>
      </c>
      <c r="M31" s="21">
        <v>740.94669999999996</v>
      </c>
      <c r="N31" s="21">
        <v>644.54610000000002</v>
      </c>
      <c r="O31" s="21">
        <v>43.330100000000002</v>
      </c>
      <c r="R31" s="6">
        <v>1340</v>
      </c>
      <c r="S31" s="21">
        <v>0.25</v>
      </c>
      <c r="T31" s="21">
        <v>0.15</v>
      </c>
      <c r="U31" s="21">
        <v>742.33889999999997</v>
      </c>
      <c r="V31" s="21">
        <v>645.0711</v>
      </c>
      <c r="W31" s="21">
        <v>43.2819</v>
      </c>
    </row>
    <row r="32" spans="2:23" x14ac:dyDescent="0.3">
      <c r="B32" s="6">
        <v>1540</v>
      </c>
      <c r="C32" s="21">
        <v>0.25</v>
      </c>
      <c r="D32" s="21">
        <v>0.15</v>
      </c>
      <c r="E32" s="21">
        <v>793.7106</v>
      </c>
      <c r="F32" s="21">
        <v>668.95839999999998</v>
      </c>
      <c r="G32" s="21">
        <v>41.636899999999997</v>
      </c>
      <c r="J32" s="6">
        <v>1540</v>
      </c>
      <c r="K32" s="21">
        <v>0.25</v>
      </c>
      <c r="L32" s="21">
        <v>0.15</v>
      </c>
      <c r="M32" s="21">
        <v>805.88409999999999</v>
      </c>
      <c r="N32" s="21">
        <v>676.57240000000002</v>
      </c>
      <c r="O32" s="21">
        <v>41.286900000000003</v>
      </c>
      <c r="R32" s="6">
        <v>1540</v>
      </c>
      <c r="S32" s="21">
        <v>0.25</v>
      </c>
      <c r="T32" s="21">
        <v>0.15</v>
      </c>
      <c r="U32" s="21">
        <v>807.31550000000004</v>
      </c>
      <c r="V32" s="21">
        <v>677.53520000000003</v>
      </c>
      <c r="W32" s="21">
        <v>41.2468</v>
      </c>
    </row>
    <row r="33" spans="2:23" x14ac:dyDescent="0.3">
      <c r="B33" s="6">
        <v>1740</v>
      </c>
      <c r="C33" s="21">
        <v>0.25</v>
      </c>
      <c r="D33" s="21">
        <v>0.15</v>
      </c>
      <c r="E33" s="21">
        <v>850.39599999999996</v>
      </c>
      <c r="F33" s="21">
        <v>714.97910000000002</v>
      </c>
      <c r="G33" s="21">
        <v>40.148600000000002</v>
      </c>
      <c r="J33" s="6">
        <v>1740</v>
      </c>
      <c r="K33" s="21">
        <v>0.25</v>
      </c>
      <c r="L33" s="21">
        <v>0.15</v>
      </c>
      <c r="M33" s="21">
        <v>862.5847</v>
      </c>
      <c r="N33" s="21">
        <v>729.23440000000005</v>
      </c>
      <c r="O33" s="21">
        <v>39.877400000000002</v>
      </c>
      <c r="R33" s="6">
        <v>1740</v>
      </c>
      <c r="S33" s="21">
        <v>0.25</v>
      </c>
      <c r="T33" s="21">
        <v>0.15</v>
      </c>
      <c r="U33" s="21">
        <v>864.02480000000003</v>
      </c>
      <c r="V33" s="21">
        <v>731.04660000000001</v>
      </c>
      <c r="W33" s="21">
        <v>39.846499999999999</v>
      </c>
    </row>
    <row r="34" spans="2:23" x14ac:dyDescent="0.3">
      <c r="B34" s="6">
        <v>1940</v>
      </c>
      <c r="C34" s="21">
        <v>0.25</v>
      </c>
      <c r="D34" s="21">
        <v>0.15</v>
      </c>
      <c r="E34" s="21">
        <v>899.42349999999999</v>
      </c>
      <c r="F34" s="21">
        <v>785.43380000000002</v>
      </c>
      <c r="G34" s="21">
        <v>39.169699999999999</v>
      </c>
      <c r="J34" s="6">
        <v>1940</v>
      </c>
      <c r="K34" s="21">
        <v>0.25</v>
      </c>
      <c r="L34" s="21">
        <v>0.15</v>
      </c>
      <c r="M34" s="21">
        <v>911.49710000000005</v>
      </c>
      <c r="N34" s="21">
        <v>808.92960000000005</v>
      </c>
      <c r="O34" s="21">
        <v>38.975499999999997</v>
      </c>
      <c r="R34" s="6">
        <v>1940</v>
      </c>
      <c r="S34" s="21">
        <v>0.25</v>
      </c>
      <c r="T34" s="21">
        <v>0.15</v>
      </c>
      <c r="U34" s="21">
        <v>912.93989999999997</v>
      </c>
      <c r="V34" s="21">
        <v>811.92769999999996</v>
      </c>
      <c r="W34" s="21">
        <v>38.953600000000002</v>
      </c>
    </row>
    <row r="35" spans="2:23" x14ac:dyDescent="0.3">
      <c r="B35" s="6">
        <v>2140</v>
      </c>
      <c r="C35" s="21">
        <v>0.25</v>
      </c>
      <c r="D35" s="21">
        <v>0.15</v>
      </c>
      <c r="E35" s="21">
        <v>942.06299999999999</v>
      </c>
      <c r="F35" s="21">
        <v>882.06700000000001</v>
      </c>
      <c r="G35" s="21">
        <v>38.570099999999996</v>
      </c>
      <c r="J35" s="6">
        <v>2140</v>
      </c>
      <c r="K35" s="21">
        <v>0.25</v>
      </c>
      <c r="L35" s="21">
        <v>0.15</v>
      </c>
      <c r="M35" s="21">
        <v>953.99180000000001</v>
      </c>
      <c r="N35" s="21">
        <v>916.62429999999995</v>
      </c>
      <c r="O35" s="21">
        <v>38.446199999999997</v>
      </c>
      <c r="R35" s="6">
        <v>2140</v>
      </c>
      <c r="S35" s="21">
        <v>0.25</v>
      </c>
      <c r="T35" s="21">
        <v>0.15</v>
      </c>
      <c r="U35" s="21">
        <v>955.41579999999999</v>
      </c>
      <c r="V35" s="21">
        <v>920.99739999999997</v>
      </c>
      <c r="W35" s="21">
        <v>38.432699999999997</v>
      </c>
    </row>
    <row r="36" spans="2:23" x14ac:dyDescent="0.3">
      <c r="B36" s="6">
        <v>2340</v>
      </c>
      <c r="C36" s="21">
        <v>0.25</v>
      </c>
      <c r="D36" s="21">
        <v>0.15</v>
      </c>
      <c r="E36" s="21">
        <v>979.72090000000003</v>
      </c>
      <c r="F36" s="21">
        <v>1004.4419</v>
      </c>
      <c r="G36" s="21">
        <v>38.246000000000002</v>
      </c>
      <c r="J36" s="6">
        <v>2340</v>
      </c>
      <c r="K36" s="21">
        <v>0.25</v>
      </c>
      <c r="L36" s="21">
        <v>0.15</v>
      </c>
      <c r="M36" s="21">
        <v>991.64800000000002</v>
      </c>
      <c r="N36" s="21">
        <v>1051.9438</v>
      </c>
      <c r="O36" s="21">
        <v>38.184800000000003</v>
      </c>
      <c r="R36" s="6">
        <v>2340</v>
      </c>
      <c r="S36" s="21">
        <v>0.25</v>
      </c>
      <c r="T36" s="21">
        <v>0.15</v>
      </c>
      <c r="U36" s="21">
        <v>993.05340000000001</v>
      </c>
      <c r="V36" s="21">
        <v>1057.846</v>
      </c>
      <c r="W36" s="21">
        <v>38.178899999999999</v>
      </c>
    </row>
    <row r="37" spans="2:23" x14ac:dyDescent="0.3">
      <c r="B37" s="6">
        <v>2540</v>
      </c>
      <c r="C37" s="21">
        <v>0.25</v>
      </c>
      <c r="D37" s="21">
        <v>0.15</v>
      </c>
      <c r="E37" s="21">
        <v>1013.8867</v>
      </c>
      <c r="F37" s="21">
        <v>1153.3686</v>
      </c>
      <c r="G37" s="21">
        <v>38.125</v>
      </c>
      <c r="J37" s="6">
        <v>2540</v>
      </c>
      <c r="K37" s="21">
        <v>0.25</v>
      </c>
      <c r="L37" s="21">
        <v>0.15</v>
      </c>
      <c r="M37" s="21">
        <v>1026.2318</v>
      </c>
      <c r="N37" s="21">
        <v>1217.5179000000001</v>
      </c>
      <c r="O37" s="21">
        <v>38.122599999999998</v>
      </c>
      <c r="R37" s="6">
        <v>2540</v>
      </c>
      <c r="S37" s="21">
        <v>0.25</v>
      </c>
      <c r="T37" s="21">
        <v>0.15</v>
      </c>
      <c r="U37" s="21">
        <v>1027.6549</v>
      </c>
      <c r="V37" s="21">
        <v>1225.296</v>
      </c>
      <c r="W37" s="21">
        <v>38.123800000000003</v>
      </c>
    </row>
    <row r="38" spans="2:23" x14ac:dyDescent="0.3">
      <c r="B38" s="6">
        <v>2740</v>
      </c>
      <c r="C38" s="21">
        <v>0.25</v>
      </c>
      <c r="D38" s="21">
        <v>0.15</v>
      </c>
      <c r="E38" s="21">
        <v>1046.2306000000001</v>
      </c>
      <c r="F38" s="21">
        <v>1081.0802000000001</v>
      </c>
      <c r="G38" s="21">
        <v>38.1661</v>
      </c>
      <c r="J38" s="6">
        <v>2740</v>
      </c>
      <c r="K38" s="21">
        <v>0.25</v>
      </c>
      <c r="L38" s="21">
        <v>0.15</v>
      </c>
      <c r="M38" s="21">
        <v>1059.5164</v>
      </c>
      <c r="N38" s="21">
        <v>1033.3955000000001</v>
      </c>
      <c r="O38" s="21">
        <v>38.227499999999999</v>
      </c>
      <c r="R38" s="6">
        <v>2740</v>
      </c>
      <c r="S38" s="21">
        <v>0.25</v>
      </c>
      <c r="T38" s="21">
        <v>0.15</v>
      </c>
      <c r="U38" s="21">
        <v>1061.0191</v>
      </c>
      <c r="V38" s="21">
        <v>1028.1713</v>
      </c>
      <c r="W38" s="21">
        <v>38.2361</v>
      </c>
    </row>
    <row r="39" spans="2:23" x14ac:dyDescent="0.3">
      <c r="B39" s="6">
        <v>2940</v>
      </c>
      <c r="C39" s="21">
        <v>0.25</v>
      </c>
      <c r="D39" s="21">
        <v>0.15</v>
      </c>
      <c r="E39" s="21">
        <v>1077.5347999999999</v>
      </c>
      <c r="F39" s="21">
        <v>973.072</v>
      </c>
      <c r="G39" s="21">
        <v>38.352699999999999</v>
      </c>
      <c r="J39" s="6">
        <v>2940</v>
      </c>
      <c r="K39" s="21">
        <v>0.25</v>
      </c>
      <c r="L39" s="21">
        <v>0.15</v>
      </c>
      <c r="M39" s="21">
        <v>1092.1864</v>
      </c>
      <c r="N39" s="21">
        <v>927.83709999999996</v>
      </c>
      <c r="O39" s="21">
        <v>38.490200000000002</v>
      </c>
      <c r="R39" s="6">
        <v>2940</v>
      </c>
      <c r="S39" s="21">
        <v>0.25</v>
      </c>
      <c r="T39" s="21">
        <v>0.15</v>
      </c>
      <c r="U39" s="21">
        <v>1093.8475000000001</v>
      </c>
      <c r="V39" s="21">
        <v>922.93020000000001</v>
      </c>
      <c r="W39" s="21">
        <v>38.507800000000003</v>
      </c>
    </row>
    <row r="40" spans="2:23" x14ac:dyDescent="0.3">
      <c r="B40" s="6">
        <v>3060</v>
      </c>
      <c r="C40" s="21">
        <v>0.25</v>
      </c>
      <c r="D40" s="21">
        <v>0.15</v>
      </c>
      <c r="E40" s="21">
        <v>1096.106</v>
      </c>
      <c r="F40" s="21">
        <v>916.33219999999994</v>
      </c>
      <c r="G40" s="21">
        <v>38.532499999999999</v>
      </c>
      <c r="J40" s="6">
        <v>3060</v>
      </c>
      <c r="K40" s="21">
        <v>0.25</v>
      </c>
      <c r="L40" s="21">
        <v>0.15</v>
      </c>
      <c r="M40" s="21">
        <v>1111.7264</v>
      </c>
      <c r="N40" s="21">
        <v>873.04200000000003</v>
      </c>
      <c r="O40" s="21">
        <v>38.723799999999997</v>
      </c>
      <c r="R40" s="6">
        <v>3060</v>
      </c>
      <c r="S40" s="21">
        <v>0.25</v>
      </c>
      <c r="T40" s="21">
        <v>0.15</v>
      </c>
      <c r="U40" s="21">
        <v>1113.4851000000001</v>
      </c>
      <c r="V40" s="21">
        <v>868.42840000000001</v>
      </c>
      <c r="W40" s="21">
        <v>38.747599999999998</v>
      </c>
    </row>
    <row r="41" spans="2:23" x14ac:dyDescent="0.3">
      <c r="B41" s="6">
        <v>3260</v>
      </c>
      <c r="C41" s="21">
        <v>0.25</v>
      </c>
      <c r="D41" s="21">
        <v>0.15</v>
      </c>
      <c r="E41" s="21">
        <v>1139.0695000000001</v>
      </c>
      <c r="F41" s="21">
        <v>807.44860000000006</v>
      </c>
      <c r="G41" s="21">
        <v>39.147100000000002</v>
      </c>
      <c r="J41" s="6">
        <v>3260</v>
      </c>
      <c r="K41" s="21">
        <v>0.25</v>
      </c>
      <c r="L41" s="21">
        <v>0.15</v>
      </c>
      <c r="M41" s="21">
        <v>1156.502</v>
      </c>
      <c r="N41" s="21">
        <v>772.68079999999998</v>
      </c>
      <c r="O41" s="21">
        <v>39.4758</v>
      </c>
      <c r="R41" s="6">
        <v>3260</v>
      </c>
      <c r="S41" s="21">
        <v>0.25</v>
      </c>
      <c r="T41" s="21">
        <v>0.15</v>
      </c>
      <c r="U41" s="21">
        <v>1158.4648</v>
      </c>
      <c r="V41" s="21">
        <v>769.12090000000001</v>
      </c>
      <c r="W41" s="21">
        <v>39.515700000000002</v>
      </c>
    </row>
    <row r="42" spans="2:23" x14ac:dyDescent="0.3">
      <c r="B42" s="6">
        <v>3460</v>
      </c>
      <c r="C42" s="21">
        <v>0.25</v>
      </c>
      <c r="D42" s="21">
        <v>0.15</v>
      </c>
      <c r="E42" s="21">
        <v>1183.3063999999999</v>
      </c>
      <c r="F42" s="21">
        <v>730.45249999999999</v>
      </c>
      <c r="G42" s="21">
        <v>40.070700000000002</v>
      </c>
      <c r="J42" s="6">
        <v>3460</v>
      </c>
      <c r="K42" s="21">
        <v>0.25</v>
      </c>
      <c r="L42" s="21">
        <v>0.15</v>
      </c>
      <c r="M42" s="21">
        <v>1202.0503000000001</v>
      </c>
      <c r="N42" s="21">
        <v>703</v>
      </c>
      <c r="O42" s="21">
        <v>40.550899999999999</v>
      </c>
      <c r="R42" s="6">
        <v>3460</v>
      </c>
      <c r="S42" s="21">
        <v>0.25</v>
      </c>
      <c r="T42" s="21">
        <v>0.15</v>
      </c>
      <c r="U42" s="21">
        <v>1204.153</v>
      </c>
      <c r="V42" s="21">
        <v>703</v>
      </c>
      <c r="W42" s="21">
        <v>40.6081</v>
      </c>
    </row>
    <row r="43" spans="2:23" x14ac:dyDescent="0.3">
      <c r="B43" s="6">
        <v>3660</v>
      </c>
      <c r="C43" s="21">
        <v>0.25</v>
      </c>
      <c r="D43" s="21">
        <v>0.15</v>
      </c>
      <c r="E43" s="21">
        <v>1224.8515</v>
      </c>
      <c r="F43" s="21">
        <v>703</v>
      </c>
      <c r="G43" s="21">
        <v>41.2059</v>
      </c>
      <c r="J43" s="6">
        <v>3660</v>
      </c>
      <c r="K43" s="21">
        <v>0.25</v>
      </c>
      <c r="L43" s="21">
        <v>0.15</v>
      </c>
      <c r="M43" s="21">
        <v>1244.0496000000001</v>
      </c>
      <c r="N43" s="21">
        <v>703</v>
      </c>
      <c r="O43" s="21">
        <v>41.8172</v>
      </c>
      <c r="R43" s="6">
        <v>3660</v>
      </c>
      <c r="S43" s="21">
        <v>0.25</v>
      </c>
      <c r="T43" s="21">
        <v>0.15</v>
      </c>
      <c r="U43" s="21">
        <v>1246.1940999999999</v>
      </c>
      <c r="V43" s="21">
        <v>703</v>
      </c>
      <c r="W43" s="21">
        <v>41.8889</v>
      </c>
    </row>
    <row r="44" spans="2:23" x14ac:dyDescent="0.3">
      <c r="B44" s="6">
        <v>3860</v>
      </c>
      <c r="C44" s="21">
        <v>0.25</v>
      </c>
      <c r="D44" s="21">
        <v>0.15</v>
      </c>
      <c r="E44" s="21">
        <v>1262.3612000000001</v>
      </c>
      <c r="F44" s="21">
        <v>703</v>
      </c>
      <c r="G44" s="21">
        <v>42.450800000000001</v>
      </c>
      <c r="J44" s="6">
        <v>3860</v>
      </c>
      <c r="K44" s="21">
        <v>0.25</v>
      </c>
      <c r="L44" s="21">
        <v>0.15</v>
      </c>
      <c r="M44" s="21">
        <v>1281.4104</v>
      </c>
      <c r="N44" s="21">
        <v>703</v>
      </c>
      <c r="O44" s="21">
        <v>43.161799999999999</v>
      </c>
      <c r="R44" s="6">
        <v>3860</v>
      </c>
      <c r="S44" s="21">
        <v>0.25</v>
      </c>
      <c r="T44" s="21">
        <v>0.15</v>
      </c>
      <c r="U44" s="21">
        <v>1283.5537999999999</v>
      </c>
      <c r="V44" s="21">
        <v>703</v>
      </c>
      <c r="W44" s="21">
        <v>43.245100000000001</v>
      </c>
    </row>
    <row r="45" spans="2:23" x14ac:dyDescent="0.3">
      <c r="B45" s="6">
        <v>4060</v>
      </c>
      <c r="C45" s="21">
        <v>0.25</v>
      </c>
      <c r="D45" s="21">
        <v>0.15</v>
      </c>
      <c r="E45" s="21">
        <v>1295.5558000000001</v>
      </c>
      <c r="F45" s="21">
        <v>703</v>
      </c>
      <c r="G45" s="21">
        <v>43.723599999999998</v>
      </c>
      <c r="J45" s="6">
        <v>4060</v>
      </c>
      <c r="K45" s="21">
        <v>0.25</v>
      </c>
      <c r="L45" s="21">
        <v>0.15</v>
      </c>
      <c r="M45" s="21">
        <v>1314.2878000000001</v>
      </c>
      <c r="N45" s="21">
        <v>703</v>
      </c>
      <c r="O45" s="21">
        <v>44.511299999999999</v>
      </c>
      <c r="R45" s="6">
        <v>4060</v>
      </c>
      <c r="S45" s="21">
        <v>0.25</v>
      </c>
      <c r="T45" s="21">
        <v>0.15</v>
      </c>
      <c r="U45" s="21">
        <v>1316.4179999999999</v>
      </c>
      <c r="V45" s="21">
        <v>703</v>
      </c>
      <c r="W45" s="21">
        <v>44.603999999999999</v>
      </c>
    </row>
    <row r="46" spans="2:23" x14ac:dyDescent="0.3">
      <c r="B46" s="6">
        <v>4260</v>
      </c>
      <c r="C46" s="21">
        <v>0.25</v>
      </c>
      <c r="D46" s="21">
        <v>0.15</v>
      </c>
      <c r="E46" s="21">
        <v>1324.6627000000001</v>
      </c>
      <c r="F46" s="21">
        <v>703</v>
      </c>
      <c r="G46" s="21">
        <v>44.968800000000002</v>
      </c>
      <c r="J46" s="6">
        <v>4260</v>
      </c>
      <c r="K46" s="21">
        <v>0.25</v>
      </c>
      <c r="L46" s="21">
        <v>0.15</v>
      </c>
      <c r="M46" s="21">
        <v>1343.0218</v>
      </c>
      <c r="N46" s="21">
        <v>703</v>
      </c>
      <c r="O46" s="21">
        <v>45.814900000000002</v>
      </c>
      <c r="R46" s="6">
        <v>4260</v>
      </c>
      <c r="S46" s="21">
        <v>0.25</v>
      </c>
      <c r="T46" s="21">
        <v>0.15</v>
      </c>
      <c r="U46" s="21">
        <v>1345.1311000000001</v>
      </c>
      <c r="V46" s="21">
        <v>703</v>
      </c>
      <c r="W46" s="21">
        <v>45.915100000000002</v>
      </c>
    </row>
    <row r="47" spans="2:23" x14ac:dyDescent="0.3">
      <c r="B47" s="6">
        <v>4460</v>
      </c>
      <c r="C47" s="21">
        <v>0.25</v>
      </c>
      <c r="D47" s="21">
        <v>0.15</v>
      </c>
      <c r="E47" s="21">
        <v>1350.0431000000001</v>
      </c>
      <c r="F47" s="21">
        <v>703</v>
      </c>
      <c r="G47" s="21">
        <v>46.150700000000001</v>
      </c>
      <c r="J47" s="6">
        <v>4460</v>
      </c>
      <c r="K47" s="21">
        <v>0.25</v>
      </c>
      <c r="L47" s="21">
        <v>0.15</v>
      </c>
      <c r="M47" s="21">
        <v>1367.9981</v>
      </c>
      <c r="N47" s="21">
        <v>703</v>
      </c>
      <c r="O47" s="21">
        <v>47.039499999999997</v>
      </c>
      <c r="R47" s="6">
        <v>4460</v>
      </c>
      <c r="S47" s="21">
        <v>0.25</v>
      </c>
      <c r="T47" s="21">
        <v>0.15</v>
      </c>
      <c r="U47" s="21">
        <v>1370.0657000000001</v>
      </c>
      <c r="V47" s="21">
        <v>703</v>
      </c>
      <c r="W47" s="21">
        <v>47.1447</v>
      </c>
    </row>
    <row r="48" spans="2:23" x14ac:dyDescent="0.3">
      <c r="B48" s="6">
        <v>4660</v>
      </c>
      <c r="C48" s="21">
        <v>0.25</v>
      </c>
      <c r="D48" s="21">
        <v>0.15</v>
      </c>
      <c r="E48" s="21">
        <v>1372.0736999999999</v>
      </c>
      <c r="F48" s="21">
        <v>703</v>
      </c>
      <c r="G48" s="21">
        <v>47.247300000000003</v>
      </c>
      <c r="J48" s="6">
        <v>4660</v>
      </c>
      <c r="K48" s="21">
        <v>0.25</v>
      </c>
      <c r="L48" s="21">
        <v>0.15</v>
      </c>
      <c r="M48" s="21">
        <v>1389.5663</v>
      </c>
      <c r="N48" s="21">
        <v>703</v>
      </c>
      <c r="O48" s="21">
        <v>48.163600000000002</v>
      </c>
      <c r="R48" s="6">
        <v>4660</v>
      </c>
      <c r="S48" s="21">
        <v>0.25</v>
      </c>
      <c r="T48" s="21">
        <v>0.15</v>
      </c>
      <c r="U48" s="21">
        <v>1391.5990999999999</v>
      </c>
      <c r="V48" s="21">
        <v>703</v>
      </c>
      <c r="W48" s="21">
        <v>48.272599999999997</v>
      </c>
    </row>
    <row r="49" spans="2:23" x14ac:dyDescent="0.3">
      <c r="B49" s="6">
        <v>4860</v>
      </c>
      <c r="C49" s="21">
        <v>0.25</v>
      </c>
      <c r="D49" s="21">
        <v>0.15</v>
      </c>
      <c r="E49" s="21">
        <v>1391.0710999999999</v>
      </c>
      <c r="F49" s="21">
        <v>703</v>
      </c>
      <c r="G49" s="21">
        <v>48.244300000000003</v>
      </c>
      <c r="J49" s="6">
        <v>4860</v>
      </c>
      <c r="K49" s="21">
        <v>0.25</v>
      </c>
      <c r="L49" s="21">
        <v>0.15</v>
      </c>
      <c r="M49" s="21">
        <v>1408.1158</v>
      </c>
      <c r="N49" s="21">
        <v>703</v>
      </c>
      <c r="O49" s="21">
        <v>49.1783</v>
      </c>
      <c r="R49" s="6">
        <v>4860</v>
      </c>
      <c r="S49" s="21">
        <v>0.25</v>
      </c>
      <c r="T49" s="21">
        <v>0.15</v>
      </c>
      <c r="U49" s="21">
        <v>1410.0992000000001</v>
      </c>
      <c r="V49" s="21">
        <v>703</v>
      </c>
      <c r="W49" s="21">
        <v>49.289299999999997</v>
      </c>
    </row>
    <row r="50" spans="2:23" x14ac:dyDescent="0.3">
      <c r="B50" s="6">
        <v>4980</v>
      </c>
      <c r="C50" s="21">
        <v>0.25</v>
      </c>
      <c r="D50" s="21">
        <v>0.15</v>
      </c>
      <c r="E50" s="21">
        <v>1401.4784999999999</v>
      </c>
      <c r="F50" s="21">
        <v>703</v>
      </c>
      <c r="G50" s="21">
        <v>48.810200000000002</v>
      </c>
      <c r="J50" s="6">
        <v>4980</v>
      </c>
      <c r="K50" s="21">
        <v>0.25</v>
      </c>
      <c r="L50" s="21">
        <v>0.15</v>
      </c>
      <c r="M50" s="21">
        <v>1418.2371000000001</v>
      </c>
      <c r="N50" s="21">
        <v>703</v>
      </c>
      <c r="O50" s="21">
        <v>49.750100000000003</v>
      </c>
      <c r="R50" s="6">
        <v>4980</v>
      </c>
      <c r="S50" s="21">
        <v>0.25</v>
      </c>
      <c r="T50" s="21">
        <v>0.15</v>
      </c>
      <c r="U50" s="21">
        <v>1420.1871000000001</v>
      </c>
      <c r="V50" s="21">
        <v>703</v>
      </c>
      <c r="W50" s="21">
        <v>49.861800000000002</v>
      </c>
    </row>
    <row r="51" spans="2:23" x14ac:dyDescent="0.3">
      <c r="B51" s="6">
        <v>5180</v>
      </c>
      <c r="C51" s="21">
        <v>0.25</v>
      </c>
      <c r="D51" s="21">
        <v>0.15</v>
      </c>
      <c r="E51" s="21">
        <v>1417.4195</v>
      </c>
      <c r="F51" s="21">
        <v>703</v>
      </c>
      <c r="G51" s="21">
        <v>49.703499999999998</v>
      </c>
      <c r="J51" s="6">
        <v>5180</v>
      </c>
      <c r="K51" s="21">
        <v>0.25</v>
      </c>
      <c r="L51" s="21">
        <v>0.15</v>
      </c>
      <c r="M51" s="21">
        <v>1433.8231000000001</v>
      </c>
      <c r="N51" s="21">
        <v>703</v>
      </c>
      <c r="O51" s="21">
        <v>50.6554</v>
      </c>
      <c r="R51" s="6">
        <v>5180</v>
      </c>
      <c r="S51" s="21">
        <v>0.25</v>
      </c>
      <c r="T51" s="21">
        <v>0.15</v>
      </c>
      <c r="U51" s="21">
        <v>1435.7356</v>
      </c>
      <c r="V51" s="21">
        <v>703</v>
      </c>
      <c r="W51" s="21">
        <v>50.768500000000003</v>
      </c>
    </row>
    <row r="52" spans="2:23" x14ac:dyDescent="0.3">
      <c r="B52" s="6">
        <v>5380</v>
      </c>
      <c r="C52" s="21">
        <v>0.25</v>
      </c>
      <c r="D52" s="21">
        <v>0.15</v>
      </c>
      <c r="E52" s="21">
        <v>1431.0282999999999</v>
      </c>
      <c r="F52" s="21">
        <v>703</v>
      </c>
      <c r="G52" s="21">
        <v>50.490900000000003</v>
      </c>
      <c r="J52" s="6">
        <v>5380</v>
      </c>
      <c r="K52" s="21">
        <v>0.25</v>
      </c>
      <c r="L52" s="21">
        <v>0.15</v>
      </c>
      <c r="M52" s="21">
        <v>1446.9893999999999</v>
      </c>
      <c r="N52" s="21">
        <v>703</v>
      </c>
      <c r="O52" s="21">
        <v>51.442799999999998</v>
      </c>
      <c r="R52" s="6">
        <v>5380</v>
      </c>
      <c r="S52" s="21">
        <v>0.25</v>
      </c>
      <c r="T52" s="21">
        <v>0.15</v>
      </c>
      <c r="U52" s="21">
        <v>1448.8585</v>
      </c>
      <c r="V52" s="21">
        <v>703</v>
      </c>
      <c r="W52" s="21">
        <v>51.5563</v>
      </c>
    </row>
    <row r="53" spans="2:23" x14ac:dyDescent="0.3">
      <c r="B53" s="6">
        <v>5580</v>
      </c>
      <c r="C53" s="21">
        <v>0.25</v>
      </c>
      <c r="D53" s="21">
        <v>0.15</v>
      </c>
      <c r="E53" s="21">
        <v>1442.383</v>
      </c>
      <c r="F53" s="21">
        <v>703</v>
      </c>
      <c r="G53" s="21">
        <v>51.164999999999999</v>
      </c>
      <c r="J53" s="6">
        <v>5580</v>
      </c>
      <c r="K53" s="21">
        <v>0.25</v>
      </c>
      <c r="L53" s="21">
        <v>0.15</v>
      </c>
      <c r="M53" s="21">
        <v>1457.9076</v>
      </c>
      <c r="N53" s="21">
        <v>703</v>
      </c>
      <c r="O53" s="21">
        <v>52.1113</v>
      </c>
      <c r="R53" s="6">
        <v>5580</v>
      </c>
      <c r="S53" s="21">
        <v>0.25</v>
      </c>
      <c r="T53" s="21">
        <v>0.15</v>
      </c>
      <c r="U53" s="21">
        <v>1459.7364</v>
      </c>
      <c r="V53" s="21">
        <v>703</v>
      </c>
      <c r="W53" s="21">
        <v>52.224600000000002</v>
      </c>
    </row>
    <row r="54" spans="2:23" x14ac:dyDescent="0.3">
      <c r="B54" s="6">
        <v>5780</v>
      </c>
      <c r="C54" s="21">
        <v>0.25</v>
      </c>
      <c r="D54" s="21">
        <v>0.15</v>
      </c>
      <c r="E54" s="21">
        <v>1451.8652</v>
      </c>
      <c r="F54" s="21">
        <v>703</v>
      </c>
      <c r="G54" s="21">
        <v>51.739600000000003</v>
      </c>
      <c r="J54" s="6">
        <v>5780</v>
      </c>
      <c r="K54" s="21">
        <v>0.25</v>
      </c>
      <c r="L54" s="21">
        <v>0.15</v>
      </c>
      <c r="M54" s="21">
        <v>1466.9908</v>
      </c>
      <c r="N54" s="21">
        <v>703</v>
      </c>
      <c r="O54" s="21">
        <v>52.677799999999998</v>
      </c>
      <c r="R54" s="6">
        <v>5780</v>
      </c>
      <c r="S54" s="21">
        <v>0.25</v>
      </c>
      <c r="T54" s="21">
        <v>0.15</v>
      </c>
      <c r="U54" s="21">
        <v>1468.7697000000001</v>
      </c>
      <c r="V54" s="21">
        <v>703</v>
      </c>
      <c r="W54" s="21">
        <v>52.7898</v>
      </c>
    </row>
    <row r="55" spans="2:23" x14ac:dyDescent="0.3">
      <c r="B55" s="6">
        <v>5980</v>
      </c>
      <c r="C55" s="21">
        <v>0.25</v>
      </c>
      <c r="D55" s="21">
        <v>0.15</v>
      </c>
      <c r="E55" s="21">
        <v>1459.835</v>
      </c>
      <c r="F55" s="21">
        <v>703</v>
      </c>
      <c r="G55" s="21">
        <v>52.230699999999999</v>
      </c>
      <c r="J55" s="6">
        <v>5980</v>
      </c>
      <c r="K55" s="21">
        <v>0.25</v>
      </c>
      <c r="L55" s="21">
        <v>0.15</v>
      </c>
      <c r="M55" s="21">
        <v>1474.5685000000001</v>
      </c>
      <c r="N55" s="21">
        <v>703</v>
      </c>
      <c r="O55" s="21">
        <v>53.157499999999999</v>
      </c>
      <c r="R55" s="6">
        <v>5980</v>
      </c>
      <c r="S55" s="21">
        <v>0.25</v>
      </c>
      <c r="T55" s="21">
        <v>0.15</v>
      </c>
      <c r="U55" s="21">
        <v>1476.307</v>
      </c>
      <c r="V55" s="21">
        <v>703</v>
      </c>
      <c r="W55" s="21">
        <v>53.268500000000003</v>
      </c>
    </row>
    <row r="56" spans="2:23" x14ac:dyDescent="0.3">
      <c r="B56" s="6">
        <v>6180</v>
      </c>
      <c r="C56" s="21">
        <v>0.25</v>
      </c>
      <c r="D56" s="21">
        <v>0.15</v>
      </c>
      <c r="E56" s="21">
        <v>1466.53</v>
      </c>
      <c r="F56" s="21">
        <v>703</v>
      </c>
      <c r="G56" s="21">
        <v>52.648800000000001</v>
      </c>
      <c r="J56" s="6">
        <v>6180</v>
      </c>
      <c r="K56" s="21">
        <v>0.25</v>
      </c>
      <c r="L56" s="21">
        <v>0.15</v>
      </c>
      <c r="M56" s="21">
        <v>1480.9124999999999</v>
      </c>
      <c r="N56" s="21">
        <v>703</v>
      </c>
      <c r="O56" s="21">
        <v>53.564</v>
      </c>
      <c r="R56" s="6">
        <v>6180</v>
      </c>
      <c r="S56" s="21">
        <v>0.25</v>
      </c>
      <c r="T56" s="21">
        <v>0.15</v>
      </c>
      <c r="U56" s="21">
        <v>1482.6116999999999</v>
      </c>
      <c r="V56" s="21">
        <v>703</v>
      </c>
      <c r="W56" s="21">
        <v>53.673699999999997</v>
      </c>
    </row>
    <row r="57" spans="2:23" x14ac:dyDescent="0.3">
      <c r="B57" s="6">
        <v>6380</v>
      </c>
      <c r="C57" s="21">
        <v>0.25</v>
      </c>
      <c r="D57" s="21">
        <v>0.15</v>
      </c>
      <c r="E57" s="21">
        <v>1472.1614999999999</v>
      </c>
      <c r="F57" s="21">
        <v>703</v>
      </c>
      <c r="G57" s="21">
        <v>53.004399999999997</v>
      </c>
      <c r="J57" s="6">
        <v>6380</v>
      </c>
      <c r="K57" s="21">
        <v>0.25</v>
      </c>
      <c r="L57" s="21">
        <v>0.15</v>
      </c>
      <c r="M57" s="21">
        <v>1486.2245</v>
      </c>
      <c r="N57" s="21">
        <v>703</v>
      </c>
      <c r="O57" s="21">
        <v>53.907800000000002</v>
      </c>
      <c r="R57" s="6">
        <v>6380</v>
      </c>
      <c r="S57" s="21">
        <v>0.25</v>
      </c>
      <c r="T57" s="21">
        <v>0.15</v>
      </c>
      <c r="U57" s="21">
        <v>1487.8969999999999</v>
      </c>
      <c r="V57" s="21">
        <v>703</v>
      </c>
      <c r="W57" s="21">
        <v>54.0167</v>
      </c>
    </row>
    <row r="58" spans="2:23" x14ac:dyDescent="0.3">
      <c r="B58" s="6">
        <v>6580</v>
      </c>
      <c r="C58" s="21">
        <v>0.25</v>
      </c>
      <c r="D58" s="21">
        <v>0.15</v>
      </c>
      <c r="E58" s="21">
        <v>1476.8983000000001</v>
      </c>
      <c r="F58" s="21">
        <v>703</v>
      </c>
      <c r="G58" s="21">
        <v>53.3063</v>
      </c>
      <c r="J58" s="6">
        <v>6580</v>
      </c>
      <c r="K58" s="21">
        <v>0.25</v>
      </c>
      <c r="L58" s="21">
        <v>0.15</v>
      </c>
      <c r="M58" s="21">
        <v>1490.6895</v>
      </c>
      <c r="N58" s="21">
        <v>703</v>
      </c>
      <c r="O58" s="21">
        <v>54.199100000000001</v>
      </c>
      <c r="R58" s="6">
        <v>6580</v>
      </c>
      <c r="S58" s="21">
        <v>0.25</v>
      </c>
      <c r="T58" s="21">
        <v>0.15</v>
      </c>
      <c r="U58" s="21">
        <v>1492.3335999999999</v>
      </c>
      <c r="V58" s="21">
        <v>703</v>
      </c>
      <c r="W58" s="21">
        <v>54.306899999999999</v>
      </c>
    </row>
    <row r="59" spans="2:23" x14ac:dyDescent="0.3">
      <c r="B59" s="6">
        <v>6780</v>
      </c>
      <c r="C59" s="21">
        <v>0.25</v>
      </c>
      <c r="D59" s="21">
        <v>0.15</v>
      </c>
      <c r="E59" s="21">
        <v>1480.9015999999999</v>
      </c>
      <c r="F59" s="21">
        <v>703</v>
      </c>
      <c r="G59" s="21">
        <v>53.563299999999998</v>
      </c>
      <c r="J59" s="6">
        <v>6780</v>
      </c>
      <c r="K59" s="21">
        <v>0.25</v>
      </c>
      <c r="L59" s="21">
        <v>0.15</v>
      </c>
      <c r="M59" s="21">
        <v>1494.4472000000001</v>
      </c>
      <c r="N59" s="21">
        <v>703</v>
      </c>
      <c r="O59" s="21">
        <v>54.445900000000002</v>
      </c>
      <c r="R59" s="6">
        <v>6780</v>
      </c>
      <c r="S59" s="21">
        <v>0.25</v>
      </c>
      <c r="T59" s="21">
        <v>0.15</v>
      </c>
      <c r="U59" s="21">
        <v>1496.0609999999999</v>
      </c>
      <c r="V59" s="21">
        <v>703</v>
      </c>
      <c r="W59" s="21">
        <v>54.552399999999999</v>
      </c>
    </row>
    <row r="60" spans="2:23" x14ac:dyDescent="0.3">
      <c r="B60" s="6">
        <v>6980</v>
      </c>
      <c r="C60" s="21">
        <v>0.25</v>
      </c>
      <c r="D60" s="21">
        <v>0.15</v>
      </c>
      <c r="E60" s="21">
        <v>1484.2773999999999</v>
      </c>
      <c r="F60" s="21">
        <v>703</v>
      </c>
      <c r="G60" s="21">
        <v>53.781399999999998</v>
      </c>
      <c r="J60" s="6">
        <v>6980</v>
      </c>
      <c r="K60" s="21">
        <v>0.25</v>
      </c>
      <c r="L60" s="21">
        <v>0.15</v>
      </c>
      <c r="M60" s="21">
        <v>1497.6004</v>
      </c>
      <c r="N60" s="21">
        <v>703</v>
      </c>
      <c r="O60" s="21">
        <v>54.654200000000003</v>
      </c>
      <c r="R60" s="6">
        <v>6980</v>
      </c>
      <c r="S60" s="21">
        <v>0.25</v>
      </c>
      <c r="T60" s="21">
        <v>0.15</v>
      </c>
      <c r="U60" s="21">
        <v>1499.1937</v>
      </c>
      <c r="V60" s="21">
        <v>703</v>
      </c>
      <c r="W60" s="21">
        <v>54.759799999999998</v>
      </c>
    </row>
    <row r="61" spans="2:23" x14ac:dyDescent="0.3">
      <c r="B61" s="6">
        <v>7180</v>
      </c>
      <c r="C61" s="21">
        <v>0.25</v>
      </c>
      <c r="D61" s="21">
        <v>0.15</v>
      </c>
      <c r="E61" s="21">
        <v>1487.1152999999999</v>
      </c>
      <c r="F61" s="21">
        <v>703</v>
      </c>
      <c r="G61" s="21">
        <v>53.965699999999998</v>
      </c>
      <c r="J61" s="6">
        <v>7180</v>
      </c>
      <c r="K61" s="21">
        <v>0.25</v>
      </c>
      <c r="L61" s="21">
        <v>0.15</v>
      </c>
      <c r="M61" s="21">
        <v>1500.2572</v>
      </c>
      <c r="N61" s="21">
        <v>703</v>
      </c>
      <c r="O61" s="21">
        <v>54.830500000000001</v>
      </c>
      <c r="R61" s="6">
        <v>7180</v>
      </c>
      <c r="S61" s="21">
        <v>0.25</v>
      </c>
      <c r="T61" s="21">
        <v>0.15</v>
      </c>
      <c r="U61" s="21">
        <v>1501.8272999999999</v>
      </c>
      <c r="V61" s="21">
        <v>703</v>
      </c>
      <c r="W61" s="21">
        <v>54.935000000000002</v>
      </c>
    </row>
    <row r="62" spans="2:23" x14ac:dyDescent="0.3">
      <c r="B62" s="6">
        <v>7380</v>
      </c>
      <c r="C62" s="21">
        <v>0.25</v>
      </c>
      <c r="D62" s="21">
        <v>0.15</v>
      </c>
      <c r="E62" s="21">
        <v>1489.5101</v>
      </c>
      <c r="F62" s="21">
        <v>703</v>
      </c>
      <c r="G62" s="21">
        <v>54.122</v>
      </c>
      <c r="J62" s="6">
        <v>7380</v>
      </c>
      <c r="K62" s="21">
        <v>0.25</v>
      </c>
      <c r="L62" s="21">
        <v>0.15</v>
      </c>
      <c r="M62" s="21">
        <v>1502.4855</v>
      </c>
      <c r="N62" s="21">
        <v>703</v>
      </c>
      <c r="O62" s="21">
        <v>54.978900000000003</v>
      </c>
      <c r="R62" s="6">
        <v>7380</v>
      </c>
      <c r="S62" s="21">
        <v>0.25</v>
      </c>
      <c r="T62" s="21">
        <v>0.15</v>
      </c>
      <c r="U62" s="21">
        <v>1504.0413000000001</v>
      </c>
      <c r="V62" s="21">
        <v>703</v>
      </c>
      <c r="W62" s="21">
        <v>55.082799999999999</v>
      </c>
    </row>
    <row r="63" spans="2:23" x14ac:dyDescent="0.3">
      <c r="B63" s="6">
        <v>7580</v>
      </c>
      <c r="C63" s="21">
        <v>0.25</v>
      </c>
      <c r="D63" s="21">
        <v>0.15</v>
      </c>
      <c r="E63" s="21">
        <v>1491.5415</v>
      </c>
      <c r="F63" s="21">
        <v>703</v>
      </c>
      <c r="G63" s="21">
        <v>54.254899999999999</v>
      </c>
      <c r="J63" s="6">
        <v>7580</v>
      </c>
      <c r="K63" s="21">
        <v>0.25</v>
      </c>
      <c r="L63" s="21">
        <v>0.15</v>
      </c>
      <c r="M63" s="21">
        <v>1504.3646000000001</v>
      </c>
      <c r="N63" s="21">
        <v>703</v>
      </c>
      <c r="O63" s="21">
        <v>55.104500000000002</v>
      </c>
      <c r="R63" s="6">
        <v>7580</v>
      </c>
      <c r="S63" s="21">
        <v>0.25</v>
      </c>
      <c r="T63" s="21">
        <v>0.15</v>
      </c>
      <c r="U63" s="21">
        <v>1505.9025999999999</v>
      </c>
      <c r="V63" s="21">
        <v>703</v>
      </c>
      <c r="W63" s="21">
        <v>55.207500000000003</v>
      </c>
    </row>
    <row r="64" spans="2:23" x14ac:dyDescent="0.3">
      <c r="B64" s="6">
        <v>7780</v>
      </c>
      <c r="C64" s="21">
        <v>0.25</v>
      </c>
      <c r="D64" s="21">
        <v>0.15</v>
      </c>
      <c r="E64" s="21">
        <v>1493.2548999999999</v>
      </c>
      <c r="F64" s="21">
        <v>703</v>
      </c>
      <c r="G64" s="21">
        <v>54.367400000000004</v>
      </c>
      <c r="J64" s="6">
        <v>7780</v>
      </c>
      <c r="K64" s="21">
        <v>0.25</v>
      </c>
      <c r="L64" s="21">
        <v>0.15</v>
      </c>
      <c r="M64" s="21">
        <v>1505.9381000000001</v>
      </c>
      <c r="N64" s="21">
        <v>703</v>
      </c>
      <c r="O64" s="21">
        <v>55.209899999999998</v>
      </c>
      <c r="R64" s="6">
        <v>7780</v>
      </c>
      <c r="S64" s="21">
        <v>0.25</v>
      </c>
      <c r="T64" s="21">
        <v>0.15</v>
      </c>
      <c r="U64" s="21">
        <v>1507.4673</v>
      </c>
      <c r="V64" s="21">
        <v>703</v>
      </c>
      <c r="W64" s="21">
        <v>55.312600000000003</v>
      </c>
    </row>
    <row r="65" spans="2:23" x14ac:dyDescent="0.3">
      <c r="B65" s="6">
        <v>7980</v>
      </c>
      <c r="C65" s="21">
        <v>0.25</v>
      </c>
      <c r="D65" s="21">
        <v>0.15</v>
      </c>
      <c r="E65" s="21">
        <v>1494.6847</v>
      </c>
      <c r="F65" s="21">
        <v>703</v>
      </c>
      <c r="G65" s="21">
        <v>54.461599999999997</v>
      </c>
      <c r="J65" s="6">
        <v>7980</v>
      </c>
      <c r="K65" s="21">
        <v>0.25</v>
      </c>
      <c r="L65" s="21">
        <v>0.15</v>
      </c>
      <c r="M65" s="21">
        <v>1507.2646</v>
      </c>
      <c r="N65" s="21">
        <v>703</v>
      </c>
      <c r="O65" s="21">
        <v>55.298999999999999</v>
      </c>
      <c r="R65" s="6">
        <v>7980</v>
      </c>
      <c r="S65" s="21">
        <v>0.25</v>
      </c>
      <c r="T65" s="21">
        <v>0.15</v>
      </c>
      <c r="U65" s="21">
        <v>1508.7825</v>
      </c>
      <c r="V65" s="21">
        <v>703</v>
      </c>
      <c r="W65" s="21">
        <v>55.4011</v>
      </c>
    </row>
    <row r="66" spans="2:23" x14ac:dyDescent="0.3">
      <c r="B66" s="6">
        <v>8180</v>
      </c>
      <c r="C66" s="21">
        <v>0.25</v>
      </c>
      <c r="D66" s="21">
        <v>0.15</v>
      </c>
      <c r="E66" s="21">
        <v>1495.9090000000001</v>
      </c>
      <c r="F66" s="21">
        <v>703</v>
      </c>
      <c r="G66" s="21">
        <v>54.542299999999997</v>
      </c>
      <c r="J66" s="6">
        <v>8180</v>
      </c>
      <c r="K66" s="21">
        <v>0.25</v>
      </c>
      <c r="L66" s="21">
        <v>0.15</v>
      </c>
      <c r="M66" s="21">
        <v>1508.3832</v>
      </c>
      <c r="N66" s="21">
        <v>703</v>
      </c>
      <c r="O66" s="21">
        <v>55.374200000000002</v>
      </c>
      <c r="R66" s="6">
        <v>8180</v>
      </c>
      <c r="S66" s="21">
        <v>0.25</v>
      </c>
      <c r="T66" s="21">
        <v>0.15</v>
      </c>
      <c r="U66" s="21">
        <v>1509.8878999999999</v>
      </c>
      <c r="V66" s="21">
        <v>703</v>
      </c>
      <c r="W66" s="21">
        <v>55.4756</v>
      </c>
    </row>
    <row r="67" spans="2:23" x14ac:dyDescent="0.3">
      <c r="B67" s="6">
        <v>8380</v>
      </c>
      <c r="C67" s="21">
        <v>0.25</v>
      </c>
      <c r="D67" s="21">
        <v>0.15</v>
      </c>
      <c r="E67" s="21">
        <v>1496.9238</v>
      </c>
      <c r="F67" s="21">
        <v>703</v>
      </c>
      <c r="G67" s="21">
        <v>54.609400000000001</v>
      </c>
      <c r="J67" s="6">
        <v>8380</v>
      </c>
      <c r="K67" s="21">
        <v>0.25</v>
      </c>
      <c r="L67" s="21">
        <v>0.15</v>
      </c>
      <c r="M67" s="21">
        <v>1509.3254999999999</v>
      </c>
      <c r="N67" s="21">
        <v>703</v>
      </c>
      <c r="O67" s="21">
        <v>55.4377</v>
      </c>
      <c r="R67" s="6">
        <v>8380</v>
      </c>
      <c r="S67" s="21">
        <v>0.25</v>
      </c>
      <c r="T67" s="21">
        <v>0.15</v>
      </c>
      <c r="U67" s="21">
        <v>1510.8169</v>
      </c>
      <c r="V67" s="21">
        <v>703</v>
      </c>
      <c r="W67" s="21">
        <v>55.538400000000003</v>
      </c>
    </row>
    <row r="68" spans="2:23" x14ac:dyDescent="0.3">
      <c r="B68" s="6">
        <v>8400</v>
      </c>
      <c r="C68" s="21">
        <v>0.25</v>
      </c>
      <c r="D68" s="21">
        <v>0.15</v>
      </c>
      <c r="E68" s="21">
        <v>1497.0309</v>
      </c>
      <c r="F68" s="21">
        <v>703</v>
      </c>
      <c r="G68" s="21">
        <v>54.616500000000002</v>
      </c>
      <c r="J68" s="6">
        <v>8400</v>
      </c>
      <c r="K68" s="21">
        <v>0.25</v>
      </c>
      <c r="L68" s="21">
        <v>0.15</v>
      </c>
      <c r="M68" s="21">
        <v>1509.4237000000001</v>
      </c>
      <c r="N68" s="21">
        <v>703</v>
      </c>
      <c r="O68" s="21">
        <v>55.444299999999998</v>
      </c>
      <c r="R68" s="6">
        <v>8400</v>
      </c>
      <c r="S68" s="21">
        <v>0.25</v>
      </c>
      <c r="T68" s="21">
        <v>0.15</v>
      </c>
      <c r="U68" s="21">
        <v>1510.9096999999999</v>
      </c>
      <c r="V68" s="21">
        <v>703</v>
      </c>
      <c r="W68" s="21">
        <v>55.544600000000003</v>
      </c>
    </row>
    <row r="69" spans="2:23" x14ac:dyDescent="0.3">
      <c r="B69" s="6">
        <v>8600</v>
      </c>
      <c r="C69" s="21">
        <v>0.25</v>
      </c>
      <c r="D69" s="21">
        <v>0.15</v>
      </c>
      <c r="E69" s="21">
        <v>1489.6908000000001</v>
      </c>
      <c r="F69" s="21">
        <v>703</v>
      </c>
      <c r="G69" s="21">
        <v>54.133800000000001</v>
      </c>
      <c r="J69" s="6">
        <v>8600</v>
      </c>
      <c r="K69" s="21">
        <v>0.25</v>
      </c>
      <c r="L69" s="21">
        <v>0.15</v>
      </c>
      <c r="M69" s="21">
        <v>1498.6213</v>
      </c>
      <c r="N69" s="21">
        <v>703</v>
      </c>
      <c r="O69" s="21">
        <v>54.721800000000002</v>
      </c>
      <c r="R69" s="6">
        <v>8600</v>
      </c>
      <c r="S69" s="21">
        <v>0.25</v>
      </c>
      <c r="T69" s="21">
        <v>0.15</v>
      </c>
      <c r="U69" s="21">
        <v>1499.6585</v>
      </c>
      <c r="V69" s="21">
        <v>703</v>
      </c>
      <c r="W69" s="21">
        <v>54.790700000000001</v>
      </c>
    </row>
    <row r="70" spans="2:23" x14ac:dyDescent="0.3">
      <c r="B70" s="6">
        <v>8800</v>
      </c>
      <c r="C70" s="21">
        <v>0.25</v>
      </c>
      <c r="D70" s="21">
        <v>0.15</v>
      </c>
      <c r="E70" s="21">
        <v>1481.8398</v>
      </c>
      <c r="F70" s="21">
        <v>703</v>
      </c>
      <c r="G70" s="21">
        <v>53.623800000000003</v>
      </c>
      <c r="J70" s="6">
        <v>8800</v>
      </c>
      <c r="K70" s="21">
        <v>0.25</v>
      </c>
      <c r="L70" s="21">
        <v>0.15</v>
      </c>
      <c r="M70" s="21">
        <v>1487.7018</v>
      </c>
      <c r="N70" s="21">
        <v>703</v>
      </c>
      <c r="O70" s="21">
        <v>54.003900000000002</v>
      </c>
      <c r="R70" s="6">
        <v>8800</v>
      </c>
      <c r="S70" s="21">
        <v>0.25</v>
      </c>
      <c r="T70" s="21">
        <v>0.15</v>
      </c>
      <c r="U70" s="21">
        <v>1488.3487</v>
      </c>
      <c r="V70" s="21">
        <v>703</v>
      </c>
      <c r="W70" s="21">
        <v>54.046100000000003</v>
      </c>
    </row>
    <row r="71" spans="2:23" x14ac:dyDescent="0.3">
      <c r="B71" s="6">
        <v>9000</v>
      </c>
      <c r="C71" s="21">
        <v>0.25</v>
      </c>
      <c r="D71" s="21">
        <v>0.15</v>
      </c>
      <c r="E71" s="21">
        <v>1475.0769</v>
      </c>
      <c r="F71" s="21">
        <v>703</v>
      </c>
      <c r="G71" s="21">
        <v>53.189900000000002</v>
      </c>
      <c r="J71" s="6">
        <v>9000</v>
      </c>
      <c r="K71" s="21">
        <v>0.25</v>
      </c>
      <c r="L71" s="21">
        <v>0.15</v>
      </c>
      <c r="M71" s="21">
        <v>1478.2481</v>
      </c>
      <c r="N71" s="21">
        <v>703</v>
      </c>
      <c r="O71" s="21">
        <v>53.392800000000001</v>
      </c>
      <c r="R71" s="6">
        <v>9000</v>
      </c>
      <c r="S71" s="21">
        <v>0.25</v>
      </c>
      <c r="T71" s="21">
        <v>0.15</v>
      </c>
      <c r="U71" s="21">
        <v>1478.5564999999999</v>
      </c>
      <c r="V71" s="21">
        <v>703</v>
      </c>
      <c r="W71" s="21">
        <v>53.412500000000001</v>
      </c>
    </row>
    <row r="72" spans="2:23" x14ac:dyDescent="0.3">
      <c r="B72" s="6">
        <v>9200</v>
      </c>
      <c r="C72" s="21">
        <v>0.25</v>
      </c>
      <c r="D72" s="21">
        <v>0.15</v>
      </c>
      <c r="E72" s="21">
        <v>1469.2796000000001</v>
      </c>
      <c r="F72" s="21">
        <v>703</v>
      </c>
      <c r="G72" s="21">
        <v>52.822000000000003</v>
      </c>
      <c r="J72" s="6">
        <v>9200</v>
      </c>
      <c r="K72" s="21">
        <v>0.25</v>
      </c>
      <c r="L72" s="21">
        <v>0.15</v>
      </c>
      <c r="M72" s="21">
        <v>1470.1186</v>
      </c>
      <c r="N72" s="21">
        <v>703</v>
      </c>
      <c r="O72" s="21">
        <v>52.875</v>
      </c>
      <c r="R72" s="6">
        <v>9200</v>
      </c>
      <c r="S72" s="21">
        <v>0.25</v>
      </c>
      <c r="T72" s="21">
        <v>0.15</v>
      </c>
      <c r="U72" s="21">
        <v>1470.1362999999999</v>
      </c>
      <c r="V72" s="21">
        <v>703</v>
      </c>
      <c r="W72" s="21">
        <v>52.876100000000001</v>
      </c>
    </row>
    <row r="73" spans="2:23" x14ac:dyDescent="0.3">
      <c r="B73" s="6">
        <v>9400</v>
      </c>
      <c r="C73" s="21">
        <v>0.25</v>
      </c>
      <c r="D73" s="21">
        <v>0.15</v>
      </c>
      <c r="E73" s="21">
        <v>1464.3062</v>
      </c>
      <c r="F73" s="21">
        <v>703</v>
      </c>
      <c r="G73" s="21">
        <v>52.509399999999999</v>
      </c>
      <c r="J73" s="6">
        <v>9400</v>
      </c>
      <c r="K73" s="21">
        <v>0.25</v>
      </c>
      <c r="L73" s="21">
        <v>0.15</v>
      </c>
      <c r="M73" s="21">
        <v>1463.1014</v>
      </c>
      <c r="N73" s="21">
        <v>703</v>
      </c>
      <c r="O73" s="21">
        <v>52.434100000000001</v>
      </c>
      <c r="R73" s="6">
        <v>9400</v>
      </c>
      <c r="S73" s="21">
        <v>0.25</v>
      </c>
      <c r="T73" s="21">
        <v>0.15</v>
      </c>
      <c r="U73" s="21">
        <v>1462.8732</v>
      </c>
      <c r="V73" s="21">
        <v>703</v>
      </c>
      <c r="W73" s="21">
        <v>52.419800000000002</v>
      </c>
    </row>
    <row r="74" spans="2:23" x14ac:dyDescent="0.3">
      <c r="B74" s="6">
        <v>9600</v>
      </c>
      <c r="C74" s="21">
        <v>0.25</v>
      </c>
      <c r="D74" s="21">
        <v>0.15</v>
      </c>
      <c r="E74" s="21">
        <v>1460.0137999999999</v>
      </c>
      <c r="F74" s="21">
        <v>703</v>
      </c>
      <c r="G74" s="21">
        <v>52.241799999999998</v>
      </c>
      <c r="J74" s="6">
        <v>9600</v>
      </c>
      <c r="K74" s="21">
        <v>0.25</v>
      </c>
      <c r="L74" s="21">
        <v>0.15</v>
      </c>
      <c r="M74" s="21">
        <v>1457.0488</v>
      </c>
      <c r="N74" s="21">
        <v>703</v>
      </c>
      <c r="O74" s="21">
        <v>52.058199999999999</v>
      </c>
      <c r="R74" s="6">
        <v>9600</v>
      </c>
      <c r="S74" s="21">
        <v>0.25</v>
      </c>
      <c r="T74" s="21">
        <v>0.15</v>
      </c>
      <c r="U74" s="21">
        <v>1456.6105</v>
      </c>
      <c r="V74" s="21">
        <v>703</v>
      </c>
      <c r="W74" s="21">
        <v>52.031100000000002</v>
      </c>
    </row>
    <row r="75" spans="2:23" x14ac:dyDescent="0.3">
      <c r="B75" s="6">
        <v>9800</v>
      </c>
      <c r="C75" s="21">
        <v>0.25</v>
      </c>
      <c r="D75" s="21">
        <v>0.15</v>
      </c>
      <c r="E75" s="21">
        <v>1456.3380999999999</v>
      </c>
      <c r="F75" s="21">
        <v>703</v>
      </c>
      <c r="G75" s="21">
        <v>52.014299999999999</v>
      </c>
      <c r="J75" s="6">
        <v>9800</v>
      </c>
      <c r="K75" s="21">
        <v>0.25</v>
      </c>
      <c r="L75" s="21">
        <v>0.15</v>
      </c>
      <c r="M75" s="21">
        <v>1451.84</v>
      </c>
      <c r="N75" s="21">
        <v>703</v>
      </c>
      <c r="O75" s="21">
        <v>51.738100000000003</v>
      </c>
      <c r="R75" s="6">
        <v>9800</v>
      </c>
      <c r="S75" s="21">
        <v>0.25</v>
      </c>
      <c r="T75" s="21">
        <v>0.15</v>
      </c>
      <c r="U75" s="21">
        <v>1451.2199000000001</v>
      </c>
      <c r="V75" s="21">
        <v>703</v>
      </c>
      <c r="W75" s="21">
        <v>51.700200000000002</v>
      </c>
    </row>
    <row r="76" spans="2:23" x14ac:dyDescent="0.3">
      <c r="B76" s="6">
        <v>10000</v>
      </c>
      <c r="C76" s="21">
        <v>0.25</v>
      </c>
      <c r="D76" s="21">
        <v>0.15</v>
      </c>
      <c r="E76" s="21">
        <v>1453.171</v>
      </c>
      <c r="F76" s="21">
        <v>703</v>
      </c>
      <c r="G76" s="21">
        <v>51.819600000000001</v>
      </c>
      <c r="J76" s="6">
        <v>10000</v>
      </c>
      <c r="K76" s="21">
        <v>0.25</v>
      </c>
      <c r="L76" s="21">
        <v>0.15</v>
      </c>
      <c r="M76" s="21">
        <v>1447.3688999999999</v>
      </c>
      <c r="N76" s="21">
        <v>703</v>
      </c>
      <c r="O76" s="21">
        <v>51.465800000000002</v>
      </c>
      <c r="R76" s="6">
        <v>10000</v>
      </c>
      <c r="S76" s="21">
        <v>0.25</v>
      </c>
      <c r="T76" s="21">
        <v>0.15</v>
      </c>
      <c r="U76" s="21">
        <v>1446.5943</v>
      </c>
      <c r="V76" s="21">
        <v>703</v>
      </c>
      <c r="W76" s="21">
        <v>51.418900000000001</v>
      </c>
    </row>
    <row r="77" spans="2:23" x14ac:dyDescent="0.3">
      <c r="B77" s="6">
        <v>10200</v>
      </c>
      <c r="C77" s="21">
        <v>0.25</v>
      </c>
      <c r="D77" s="21">
        <v>0.15</v>
      </c>
      <c r="E77" s="21">
        <v>1450.4674</v>
      </c>
      <c r="F77" s="21">
        <v>703</v>
      </c>
      <c r="G77" s="21">
        <v>51.654299999999999</v>
      </c>
      <c r="J77" s="6">
        <v>10200</v>
      </c>
      <c r="K77" s="21">
        <v>0.25</v>
      </c>
      <c r="L77" s="21">
        <v>0.15</v>
      </c>
      <c r="M77" s="21">
        <v>1443.5398</v>
      </c>
      <c r="N77" s="21">
        <v>703</v>
      </c>
      <c r="O77" s="21">
        <v>51.234499999999997</v>
      </c>
      <c r="R77" s="6">
        <v>10200</v>
      </c>
      <c r="S77" s="21">
        <v>0.25</v>
      </c>
      <c r="T77" s="21">
        <v>0.15</v>
      </c>
      <c r="U77" s="21">
        <v>1442.6275000000001</v>
      </c>
      <c r="V77" s="21">
        <v>703</v>
      </c>
      <c r="W77" s="21">
        <v>51.179699999999997</v>
      </c>
    </row>
    <row r="78" spans="2:23" x14ac:dyDescent="0.3">
      <c r="B78" s="6">
        <v>10400</v>
      </c>
      <c r="C78" s="21">
        <v>0.25</v>
      </c>
      <c r="D78" s="21">
        <v>0.15</v>
      </c>
      <c r="E78" s="21">
        <v>1448.1581000000001</v>
      </c>
      <c r="F78" s="21">
        <v>703</v>
      </c>
      <c r="G78" s="21">
        <v>51.5137</v>
      </c>
      <c r="J78" s="6">
        <v>10400</v>
      </c>
      <c r="K78" s="21">
        <v>0.25</v>
      </c>
      <c r="L78" s="21">
        <v>0.15</v>
      </c>
      <c r="M78" s="21">
        <v>1440.2547</v>
      </c>
      <c r="N78" s="21">
        <v>703</v>
      </c>
      <c r="O78" s="21">
        <v>51.037500000000001</v>
      </c>
      <c r="R78" s="6">
        <v>10400</v>
      </c>
      <c r="S78" s="21">
        <v>0.25</v>
      </c>
      <c r="T78" s="21">
        <v>0.15</v>
      </c>
      <c r="U78" s="21">
        <v>1439.2293999999999</v>
      </c>
      <c r="V78" s="21">
        <v>703</v>
      </c>
      <c r="W78" s="21">
        <v>50.976199999999999</v>
      </c>
    </row>
    <row r="79" spans="2:23" x14ac:dyDescent="0.3">
      <c r="B79" s="6">
        <v>10600</v>
      </c>
      <c r="C79" s="21">
        <v>0.25</v>
      </c>
      <c r="D79" s="21">
        <v>0.15</v>
      </c>
      <c r="E79" s="21">
        <v>1446.1802</v>
      </c>
      <c r="F79" s="21">
        <v>703</v>
      </c>
      <c r="G79" s="21">
        <v>51.393900000000002</v>
      </c>
      <c r="J79" s="6">
        <v>10600</v>
      </c>
      <c r="K79" s="21">
        <v>0.25</v>
      </c>
      <c r="L79" s="21">
        <v>0.15</v>
      </c>
      <c r="M79" s="21">
        <v>1437.4384</v>
      </c>
      <c r="N79" s="21">
        <v>703</v>
      </c>
      <c r="O79" s="21">
        <v>50.869599999999998</v>
      </c>
      <c r="R79" s="6">
        <v>10600</v>
      </c>
      <c r="S79" s="21">
        <v>0.25</v>
      </c>
      <c r="T79" s="21">
        <v>0.15</v>
      </c>
      <c r="U79" s="21">
        <v>1436.3212000000001</v>
      </c>
      <c r="V79" s="21">
        <v>703</v>
      </c>
      <c r="W79" s="21">
        <v>50.803199999999997</v>
      </c>
    </row>
    <row r="80" spans="2:23" x14ac:dyDescent="0.3">
      <c r="B80" s="6">
        <v>10800</v>
      </c>
      <c r="C80" s="21">
        <v>0.25</v>
      </c>
      <c r="D80" s="21">
        <v>0.15</v>
      </c>
      <c r="E80" s="21">
        <v>1444.5051000000001</v>
      </c>
      <c r="F80" s="21">
        <v>703</v>
      </c>
      <c r="G80" s="21">
        <v>51.292700000000004</v>
      </c>
      <c r="J80" s="6">
        <v>10800</v>
      </c>
      <c r="K80" s="21">
        <v>0.25</v>
      </c>
      <c r="L80" s="21">
        <v>0.15</v>
      </c>
      <c r="M80" s="21">
        <v>1435.0391</v>
      </c>
      <c r="N80" s="21">
        <v>703</v>
      </c>
      <c r="O80" s="21">
        <v>50.7273</v>
      </c>
      <c r="R80" s="6">
        <v>10800</v>
      </c>
      <c r="S80" s="21">
        <v>0.25</v>
      </c>
      <c r="T80" s="21">
        <v>0.15</v>
      </c>
      <c r="U80" s="21">
        <v>1433.8335</v>
      </c>
      <c r="V80" s="21">
        <v>703</v>
      </c>
      <c r="W80" s="21">
        <v>50.655999999999999</v>
      </c>
    </row>
    <row r="81" spans="2:23" x14ac:dyDescent="0.3">
      <c r="B81" s="6">
        <v>11000</v>
      </c>
      <c r="C81" s="21">
        <v>0.25</v>
      </c>
      <c r="D81" s="21">
        <v>0.15</v>
      </c>
      <c r="E81" s="21">
        <v>1443.0546999999999</v>
      </c>
      <c r="F81" s="21">
        <v>703</v>
      </c>
      <c r="G81" s="21">
        <v>51.205399999999997</v>
      </c>
      <c r="J81" s="6">
        <v>11000</v>
      </c>
      <c r="K81" s="21">
        <v>0.25</v>
      </c>
      <c r="L81" s="21">
        <v>0.15</v>
      </c>
      <c r="M81" s="21">
        <v>1432.9860000000001</v>
      </c>
      <c r="N81" s="21">
        <v>703</v>
      </c>
      <c r="O81" s="21">
        <v>50.606000000000002</v>
      </c>
      <c r="R81" s="6">
        <v>11000</v>
      </c>
      <c r="S81" s="21">
        <v>0.25</v>
      </c>
      <c r="T81" s="21">
        <v>0.15</v>
      </c>
      <c r="U81" s="21">
        <v>1431.7064</v>
      </c>
      <c r="V81" s="21">
        <v>703</v>
      </c>
      <c r="W81" s="21">
        <v>50.530700000000003</v>
      </c>
    </row>
    <row r="82" spans="2:23" x14ac:dyDescent="0.3">
      <c r="B82" s="6">
        <v>11200</v>
      </c>
      <c r="C82" s="21">
        <v>0.25</v>
      </c>
      <c r="D82" s="21">
        <v>0.15</v>
      </c>
      <c r="E82" s="21">
        <v>1441.8361</v>
      </c>
      <c r="F82" s="21">
        <v>703</v>
      </c>
      <c r="G82" s="21">
        <v>51.132199999999997</v>
      </c>
      <c r="J82" s="6">
        <v>11200</v>
      </c>
      <c r="K82" s="21">
        <v>0.25</v>
      </c>
      <c r="L82" s="21">
        <v>0.15</v>
      </c>
      <c r="M82" s="21">
        <v>1431.2294999999999</v>
      </c>
      <c r="N82" s="21">
        <v>703</v>
      </c>
      <c r="O82" s="21">
        <v>50.502699999999997</v>
      </c>
      <c r="R82" s="6">
        <v>11200</v>
      </c>
      <c r="S82" s="21">
        <v>0.25</v>
      </c>
      <c r="T82" s="21">
        <v>0.15</v>
      </c>
      <c r="U82" s="21">
        <v>1429.8876</v>
      </c>
      <c r="V82" s="21">
        <v>703</v>
      </c>
      <c r="W82" s="21">
        <v>50.423999999999999</v>
      </c>
    </row>
    <row r="83" spans="2:23" x14ac:dyDescent="0.3">
      <c r="B83" s="6">
        <v>11400</v>
      </c>
      <c r="C83" s="21">
        <v>0.25</v>
      </c>
      <c r="D83" s="21">
        <v>0.15</v>
      </c>
      <c r="E83" s="21">
        <v>1440.7796000000001</v>
      </c>
      <c r="F83" s="21">
        <v>703</v>
      </c>
      <c r="G83" s="21">
        <v>51.068899999999999</v>
      </c>
      <c r="J83" s="6">
        <v>11400</v>
      </c>
      <c r="K83" s="21">
        <v>0.25</v>
      </c>
      <c r="L83" s="21">
        <v>0.15</v>
      </c>
      <c r="M83" s="21">
        <v>1429.7284999999999</v>
      </c>
      <c r="N83" s="21">
        <v>703</v>
      </c>
      <c r="O83" s="21">
        <v>50.414700000000003</v>
      </c>
      <c r="R83" s="6">
        <v>11400</v>
      </c>
      <c r="S83" s="21">
        <v>0.25</v>
      </c>
      <c r="T83" s="21">
        <v>0.15</v>
      </c>
      <c r="U83" s="21">
        <v>1428.3325</v>
      </c>
      <c r="V83" s="21">
        <v>703</v>
      </c>
      <c r="W83" s="21">
        <v>50.333100000000002</v>
      </c>
    </row>
    <row r="84" spans="2:23" x14ac:dyDescent="0.3">
      <c r="B84" s="6">
        <v>11600</v>
      </c>
      <c r="C84" s="21">
        <v>0.25</v>
      </c>
      <c r="D84" s="21">
        <v>0.15</v>
      </c>
      <c r="E84" s="21">
        <v>1439.8994</v>
      </c>
      <c r="F84" s="21">
        <v>703</v>
      </c>
      <c r="G84" s="21">
        <v>51.016199999999998</v>
      </c>
      <c r="J84" s="6">
        <v>11600</v>
      </c>
      <c r="K84" s="21">
        <v>0.25</v>
      </c>
      <c r="L84" s="21">
        <v>0.15</v>
      </c>
      <c r="M84" s="21">
        <v>1428.4463000000001</v>
      </c>
      <c r="N84" s="21">
        <v>703</v>
      </c>
      <c r="O84" s="21">
        <v>50.339799999999997</v>
      </c>
      <c r="R84" s="6">
        <v>11600</v>
      </c>
      <c r="S84" s="21">
        <v>0.25</v>
      </c>
      <c r="T84" s="21">
        <v>0.15</v>
      </c>
      <c r="U84" s="21">
        <v>1426.9974999999999</v>
      </c>
      <c r="V84" s="21">
        <v>703</v>
      </c>
      <c r="W84" s="21">
        <v>50.255299999999998</v>
      </c>
    </row>
    <row r="85" spans="2:23" x14ac:dyDescent="0.3">
      <c r="B85" s="6">
        <v>11800</v>
      </c>
      <c r="C85" s="21">
        <v>0.25</v>
      </c>
      <c r="D85" s="21">
        <v>0.15</v>
      </c>
      <c r="E85" s="21">
        <v>1439.1315</v>
      </c>
      <c r="F85" s="21">
        <v>703</v>
      </c>
      <c r="G85" s="21">
        <v>50.970399999999998</v>
      </c>
      <c r="J85" s="6">
        <v>11800</v>
      </c>
      <c r="K85" s="21">
        <v>0.25</v>
      </c>
      <c r="L85" s="21">
        <v>0.15</v>
      </c>
      <c r="M85" s="21">
        <v>1427.3397</v>
      </c>
      <c r="N85" s="21">
        <v>703</v>
      </c>
      <c r="O85" s="21">
        <v>50.275199999999998</v>
      </c>
      <c r="R85" s="6">
        <v>11800</v>
      </c>
      <c r="S85" s="21">
        <v>0.25</v>
      </c>
      <c r="T85" s="21">
        <v>0.15</v>
      </c>
      <c r="U85" s="21">
        <v>1425.8558</v>
      </c>
      <c r="V85" s="21">
        <v>703</v>
      </c>
      <c r="W85" s="21">
        <v>50.188899999999997</v>
      </c>
    </row>
    <row r="86" spans="2:23" x14ac:dyDescent="0.3">
      <c r="B86" s="6">
        <v>12000</v>
      </c>
      <c r="C86" s="21">
        <v>0.25</v>
      </c>
      <c r="D86" s="21">
        <v>0.15</v>
      </c>
      <c r="E86" s="21">
        <v>1438.4953</v>
      </c>
      <c r="F86" s="21">
        <v>703</v>
      </c>
      <c r="G86" s="21">
        <v>50.932499999999997</v>
      </c>
      <c r="J86" s="6">
        <v>12000</v>
      </c>
      <c r="K86" s="21">
        <v>0.25</v>
      </c>
      <c r="L86" s="21">
        <v>0.15</v>
      </c>
      <c r="M86" s="21">
        <v>1426.3975</v>
      </c>
      <c r="N86" s="21">
        <v>703</v>
      </c>
      <c r="O86" s="21">
        <v>50.220399999999998</v>
      </c>
      <c r="R86" s="6">
        <v>12000</v>
      </c>
      <c r="S86" s="21">
        <v>0.25</v>
      </c>
      <c r="T86" s="21">
        <v>0.15</v>
      </c>
      <c r="U86" s="21">
        <v>1424.8796</v>
      </c>
      <c r="V86" s="21">
        <v>703</v>
      </c>
      <c r="W86" s="21">
        <v>50.132300000000001</v>
      </c>
    </row>
    <row r="87" spans="2:23" x14ac:dyDescent="0.3">
      <c r="B87" s="6">
        <v>12200</v>
      </c>
      <c r="C87" s="21">
        <v>0.25</v>
      </c>
      <c r="D87" s="21">
        <v>0.15</v>
      </c>
      <c r="E87" s="21">
        <v>1437.931</v>
      </c>
      <c r="F87" s="21">
        <v>703</v>
      </c>
      <c r="G87" s="21">
        <v>50.898899999999998</v>
      </c>
      <c r="J87" s="6">
        <v>12200</v>
      </c>
      <c r="K87" s="21">
        <v>0.25</v>
      </c>
      <c r="L87" s="21">
        <v>0.15</v>
      </c>
      <c r="M87" s="21">
        <v>1425.5965000000001</v>
      </c>
      <c r="N87" s="21">
        <v>703</v>
      </c>
      <c r="O87" s="21">
        <v>50.173900000000003</v>
      </c>
      <c r="R87" s="6">
        <v>12200</v>
      </c>
      <c r="S87" s="21">
        <v>0.25</v>
      </c>
      <c r="T87" s="21">
        <v>0.15</v>
      </c>
      <c r="U87" s="21">
        <v>1424.0445999999999</v>
      </c>
      <c r="V87" s="21">
        <v>703</v>
      </c>
      <c r="W87" s="21">
        <v>50.084000000000003</v>
      </c>
    </row>
    <row r="88" spans="2:23" x14ac:dyDescent="0.3">
      <c r="B88" s="6">
        <v>12400</v>
      </c>
      <c r="C88" s="21">
        <v>0.25</v>
      </c>
      <c r="D88" s="21">
        <v>0.15</v>
      </c>
      <c r="E88" s="21">
        <v>1437.4621999999999</v>
      </c>
      <c r="F88" s="21">
        <v>703</v>
      </c>
      <c r="G88" s="21">
        <v>50.871000000000002</v>
      </c>
      <c r="J88" s="6">
        <v>12400</v>
      </c>
      <c r="K88" s="21">
        <v>0.25</v>
      </c>
      <c r="L88" s="21">
        <v>0.15</v>
      </c>
      <c r="M88" s="21">
        <v>1424.9050999999999</v>
      </c>
      <c r="N88" s="21">
        <v>703</v>
      </c>
      <c r="O88" s="21">
        <v>50.133800000000001</v>
      </c>
      <c r="R88" s="6">
        <v>12400</v>
      </c>
      <c r="S88" s="21">
        <v>0.25</v>
      </c>
      <c r="T88" s="21">
        <v>0.15</v>
      </c>
      <c r="U88" s="21">
        <v>1423.3306</v>
      </c>
      <c r="V88" s="21">
        <v>703</v>
      </c>
      <c r="W88" s="21">
        <v>50.042700000000004</v>
      </c>
    </row>
    <row r="89" spans="2:23" x14ac:dyDescent="0.3">
      <c r="B89" s="6">
        <v>12600</v>
      </c>
      <c r="C89" s="21">
        <v>0.25</v>
      </c>
      <c r="D89" s="21">
        <v>0.15</v>
      </c>
      <c r="E89" s="21">
        <v>1437.0573999999999</v>
      </c>
      <c r="F89" s="21">
        <v>703</v>
      </c>
      <c r="G89" s="21">
        <v>50.846899999999998</v>
      </c>
      <c r="J89" s="6">
        <v>12600</v>
      </c>
      <c r="K89" s="21">
        <v>0.25</v>
      </c>
      <c r="L89" s="21">
        <v>0.15</v>
      </c>
      <c r="M89" s="21">
        <v>1424.3088</v>
      </c>
      <c r="N89" s="21">
        <v>703</v>
      </c>
      <c r="O89" s="21">
        <v>50.099299999999999</v>
      </c>
      <c r="R89" s="6">
        <v>12600</v>
      </c>
      <c r="S89" s="21">
        <v>0.25</v>
      </c>
      <c r="T89" s="21">
        <v>0.15</v>
      </c>
      <c r="U89" s="21">
        <v>1422.7198000000001</v>
      </c>
      <c r="V89" s="21">
        <v>703</v>
      </c>
      <c r="W89" s="21">
        <v>50.0075</v>
      </c>
    </row>
    <row r="90" spans="2:23" x14ac:dyDescent="0.3">
      <c r="B90" s="6">
        <v>12800</v>
      </c>
      <c r="C90" s="21">
        <v>0.25</v>
      </c>
      <c r="D90" s="21">
        <v>0.15</v>
      </c>
      <c r="E90" s="21">
        <v>1436.7139</v>
      </c>
      <c r="F90" s="21">
        <v>703</v>
      </c>
      <c r="G90" s="21">
        <v>50.826500000000003</v>
      </c>
      <c r="J90" s="6">
        <v>12800</v>
      </c>
      <c r="K90" s="21">
        <v>0.25</v>
      </c>
      <c r="L90" s="21">
        <v>0.15</v>
      </c>
      <c r="M90" s="21">
        <v>1423.8082999999999</v>
      </c>
      <c r="N90" s="21">
        <v>703</v>
      </c>
      <c r="O90" s="21">
        <v>50.070300000000003</v>
      </c>
      <c r="R90" s="6">
        <v>12800</v>
      </c>
      <c r="S90" s="21">
        <v>0.25</v>
      </c>
      <c r="T90" s="21">
        <v>0.15</v>
      </c>
      <c r="U90" s="21">
        <v>1422.1976</v>
      </c>
      <c r="V90" s="21">
        <v>703</v>
      </c>
      <c r="W90" s="21">
        <v>49.977400000000003</v>
      </c>
    </row>
    <row r="91" spans="2:23" x14ac:dyDescent="0.3">
      <c r="B91" s="6">
        <v>13000</v>
      </c>
      <c r="C91" s="21">
        <v>0.25</v>
      </c>
      <c r="D91" s="21">
        <v>0.15</v>
      </c>
      <c r="E91" s="21">
        <v>1436.4297999999999</v>
      </c>
      <c r="F91" s="21">
        <v>703</v>
      </c>
      <c r="G91" s="21">
        <v>50.809699999999999</v>
      </c>
      <c r="J91" s="6">
        <v>13000</v>
      </c>
      <c r="K91" s="21">
        <v>0.25</v>
      </c>
      <c r="L91" s="21">
        <v>0.15</v>
      </c>
      <c r="M91" s="21">
        <v>1423.3786</v>
      </c>
      <c r="N91" s="21">
        <v>703</v>
      </c>
      <c r="O91" s="21">
        <v>50.045499999999997</v>
      </c>
      <c r="R91" s="6">
        <v>13000</v>
      </c>
      <c r="S91" s="21">
        <v>0.25</v>
      </c>
      <c r="T91" s="21">
        <v>0.15</v>
      </c>
      <c r="U91" s="21">
        <v>1421.7511</v>
      </c>
      <c r="V91" s="21">
        <v>703</v>
      </c>
      <c r="W91" s="21">
        <v>49.951599999999999</v>
      </c>
    </row>
    <row r="92" spans="2:23" x14ac:dyDescent="0.3">
      <c r="B92" s="6">
        <v>13200</v>
      </c>
      <c r="C92" s="21">
        <v>0.25</v>
      </c>
      <c r="D92" s="21">
        <v>0.15</v>
      </c>
      <c r="E92" s="21">
        <v>1436.1756</v>
      </c>
      <c r="F92" s="21">
        <v>703</v>
      </c>
      <c r="G92" s="21">
        <v>50.794600000000003</v>
      </c>
      <c r="J92" s="6">
        <v>13200</v>
      </c>
      <c r="K92" s="21">
        <v>0.25</v>
      </c>
      <c r="L92" s="21">
        <v>0.15</v>
      </c>
      <c r="M92" s="21">
        <v>1423.0110999999999</v>
      </c>
      <c r="N92" s="21">
        <v>703</v>
      </c>
      <c r="O92" s="21">
        <v>50.024299999999997</v>
      </c>
      <c r="R92" s="6">
        <v>13200</v>
      </c>
      <c r="S92" s="21">
        <v>0.25</v>
      </c>
      <c r="T92" s="21">
        <v>0.15</v>
      </c>
      <c r="U92" s="21">
        <v>1421.3637000000001</v>
      </c>
      <c r="V92" s="21">
        <v>703</v>
      </c>
      <c r="W92" s="21">
        <v>49.929400000000001</v>
      </c>
    </row>
    <row r="93" spans="2:23" x14ac:dyDescent="0.3">
      <c r="B93" s="6">
        <v>13400</v>
      </c>
      <c r="C93" s="21">
        <v>0.25</v>
      </c>
      <c r="D93" s="21">
        <v>0.15</v>
      </c>
      <c r="E93" s="21">
        <v>1435.9782</v>
      </c>
      <c r="F93" s="21">
        <v>703</v>
      </c>
      <c r="G93" s="21">
        <v>50.782899999999998</v>
      </c>
      <c r="J93" s="6">
        <v>13400</v>
      </c>
      <c r="K93" s="21">
        <v>0.25</v>
      </c>
      <c r="L93" s="21">
        <v>0.15</v>
      </c>
      <c r="M93" s="21">
        <v>1422.6851999999999</v>
      </c>
      <c r="N93" s="21">
        <v>703</v>
      </c>
      <c r="O93" s="21">
        <v>50.005499999999998</v>
      </c>
      <c r="R93" s="6">
        <v>13400</v>
      </c>
      <c r="S93" s="21">
        <v>0.25</v>
      </c>
      <c r="T93" s="21">
        <v>0.15</v>
      </c>
      <c r="U93" s="21">
        <v>1421.0327</v>
      </c>
      <c r="V93" s="21">
        <v>703</v>
      </c>
      <c r="W93" s="21">
        <v>49.910299999999999</v>
      </c>
    </row>
    <row r="94" spans="2:23" x14ac:dyDescent="0.3">
      <c r="B94" s="6">
        <v>13600</v>
      </c>
      <c r="C94" s="21">
        <v>0.25</v>
      </c>
      <c r="D94" s="21">
        <v>0.15</v>
      </c>
      <c r="E94" s="21">
        <v>1435.7831000000001</v>
      </c>
      <c r="F94" s="21">
        <v>703</v>
      </c>
      <c r="G94" s="21">
        <v>50.771299999999997</v>
      </c>
      <c r="J94" s="6">
        <v>13600</v>
      </c>
      <c r="K94" s="21">
        <v>0.25</v>
      </c>
      <c r="L94" s="21">
        <v>0.15</v>
      </c>
      <c r="M94" s="21">
        <v>1422.4091000000001</v>
      </c>
      <c r="N94" s="21">
        <v>703</v>
      </c>
      <c r="O94" s="21">
        <v>49.9895</v>
      </c>
      <c r="R94" s="6">
        <v>13600</v>
      </c>
      <c r="S94" s="21">
        <v>0.25</v>
      </c>
      <c r="T94" s="21">
        <v>0.15</v>
      </c>
      <c r="U94" s="21">
        <v>1420.7498000000001</v>
      </c>
      <c r="V94" s="21">
        <v>703</v>
      </c>
      <c r="W94" s="21">
        <v>49.894100000000002</v>
      </c>
    </row>
    <row r="95" spans="2:23" x14ac:dyDescent="0.3">
      <c r="B95" s="6">
        <v>13800</v>
      </c>
      <c r="C95" s="21">
        <v>0.25</v>
      </c>
      <c r="D95" s="21">
        <v>0.15</v>
      </c>
      <c r="E95" s="21">
        <v>1435.6433</v>
      </c>
      <c r="F95" s="21">
        <v>703</v>
      </c>
      <c r="G95" s="21">
        <v>50.762999999999998</v>
      </c>
      <c r="J95" s="6">
        <v>13800</v>
      </c>
      <c r="K95" s="21">
        <v>0.25</v>
      </c>
      <c r="L95" s="21">
        <v>0.15</v>
      </c>
      <c r="M95" s="21">
        <v>1422.1775</v>
      </c>
      <c r="N95" s="21">
        <v>703</v>
      </c>
      <c r="O95" s="21">
        <v>49.976199999999999</v>
      </c>
      <c r="R95" s="6">
        <v>13800</v>
      </c>
      <c r="S95" s="21">
        <v>0.25</v>
      </c>
      <c r="T95" s="21">
        <v>0.15</v>
      </c>
      <c r="U95" s="21">
        <v>1420.5087000000001</v>
      </c>
      <c r="V95" s="21">
        <v>703</v>
      </c>
      <c r="W95" s="21">
        <v>49.880200000000002</v>
      </c>
    </row>
    <row r="96" spans="2:23" x14ac:dyDescent="0.3">
      <c r="B96" s="6">
        <v>14000</v>
      </c>
      <c r="C96" s="21">
        <v>0.25</v>
      </c>
      <c r="D96" s="21">
        <v>0.15</v>
      </c>
      <c r="E96" s="21">
        <v>1435.5047</v>
      </c>
      <c r="F96" s="21">
        <v>703</v>
      </c>
      <c r="G96" s="21">
        <v>50.754800000000003</v>
      </c>
      <c r="J96" s="6">
        <v>14000</v>
      </c>
      <c r="K96" s="21">
        <v>0.25</v>
      </c>
      <c r="L96" s="21">
        <v>0.15</v>
      </c>
      <c r="M96" s="21">
        <v>1421.9736</v>
      </c>
      <c r="N96" s="21">
        <v>703</v>
      </c>
      <c r="O96" s="21">
        <v>49.964500000000001</v>
      </c>
      <c r="R96" s="6">
        <v>14000</v>
      </c>
      <c r="S96" s="21">
        <v>0.25</v>
      </c>
      <c r="T96" s="21">
        <v>0.15</v>
      </c>
      <c r="U96" s="21">
        <v>1420.3031000000001</v>
      </c>
      <c r="V96" s="21">
        <v>703</v>
      </c>
      <c r="W96" s="21">
        <v>49.868400000000001</v>
      </c>
    </row>
    <row r="97" spans="2:23" x14ac:dyDescent="0.3">
      <c r="B97" s="6">
        <v>14200</v>
      </c>
      <c r="C97" s="21">
        <v>0.25</v>
      </c>
      <c r="D97" s="21">
        <v>0.15</v>
      </c>
      <c r="E97" s="21">
        <v>1435.395</v>
      </c>
      <c r="F97" s="21">
        <v>703</v>
      </c>
      <c r="G97" s="21">
        <v>50.7483</v>
      </c>
      <c r="J97" s="6">
        <v>14200</v>
      </c>
      <c r="K97" s="21">
        <v>0.25</v>
      </c>
      <c r="L97" s="21">
        <v>0.15</v>
      </c>
      <c r="M97" s="21">
        <v>1421.7940000000001</v>
      </c>
      <c r="N97" s="21">
        <v>703</v>
      </c>
      <c r="O97" s="21">
        <v>49.954099999999997</v>
      </c>
      <c r="R97" s="6">
        <v>14200</v>
      </c>
      <c r="S97" s="21">
        <v>0.25</v>
      </c>
      <c r="T97" s="21">
        <v>0.15</v>
      </c>
      <c r="U97" s="21">
        <v>1420.1224</v>
      </c>
      <c r="V97" s="21">
        <v>703</v>
      </c>
      <c r="W97" s="21">
        <v>49.8581</v>
      </c>
    </row>
    <row r="98" spans="2:23" x14ac:dyDescent="0.3">
      <c r="B98" s="6">
        <v>14400</v>
      </c>
      <c r="C98" s="21">
        <v>0.25</v>
      </c>
      <c r="D98" s="21">
        <v>0.15</v>
      </c>
      <c r="E98" s="21">
        <v>1435.3116</v>
      </c>
      <c r="F98" s="21">
        <v>703</v>
      </c>
      <c r="G98" s="21">
        <v>50.743400000000001</v>
      </c>
      <c r="J98" s="6">
        <v>14400</v>
      </c>
      <c r="K98" s="21">
        <v>0.25</v>
      </c>
      <c r="L98" s="21">
        <v>0.15</v>
      </c>
      <c r="M98" s="21">
        <v>1421.6494</v>
      </c>
      <c r="N98" s="21">
        <v>703</v>
      </c>
      <c r="O98" s="21">
        <v>49.945799999999998</v>
      </c>
      <c r="R98" s="6">
        <v>14400</v>
      </c>
      <c r="S98" s="21">
        <v>0.25</v>
      </c>
      <c r="T98" s="21">
        <v>0.15</v>
      </c>
      <c r="U98" s="21">
        <v>1419.9689000000001</v>
      </c>
      <c r="V98" s="21">
        <v>703</v>
      </c>
      <c r="W98" s="21">
        <v>49.849299999999999</v>
      </c>
    </row>
    <row r="99" spans="2:23" x14ac:dyDescent="0.3">
      <c r="B99" s="6">
        <v>14600</v>
      </c>
      <c r="C99" s="21">
        <v>0.25</v>
      </c>
      <c r="D99" s="21">
        <v>0.15</v>
      </c>
      <c r="E99" s="21">
        <v>1435.2286999999999</v>
      </c>
      <c r="F99" s="21">
        <v>703</v>
      </c>
      <c r="G99" s="21">
        <v>50.738500000000002</v>
      </c>
      <c r="J99" s="6">
        <v>14600</v>
      </c>
      <c r="K99" s="21">
        <v>0.25</v>
      </c>
      <c r="L99" s="21">
        <v>0.15</v>
      </c>
      <c r="M99" s="21">
        <v>1421.5246999999999</v>
      </c>
      <c r="N99" s="21">
        <v>703</v>
      </c>
      <c r="O99" s="21">
        <v>49.938600000000001</v>
      </c>
      <c r="R99" s="6">
        <v>14600</v>
      </c>
      <c r="S99" s="21">
        <v>0.25</v>
      </c>
      <c r="T99" s="21">
        <v>0.15</v>
      </c>
      <c r="U99" s="21">
        <v>1419.8388</v>
      </c>
      <c r="V99" s="21">
        <v>703</v>
      </c>
      <c r="W99" s="21">
        <v>49.841799999999999</v>
      </c>
    </row>
    <row r="100" spans="2:23" x14ac:dyDescent="0.3">
      <c r="B100" s="6">
        <v>14800</v>
      </c>
      <c r="C100" s="21">
        <v>0.25</v>
      </c>
      <c r="D100" s="21">
        <v>0.15</v>
      </c>
      <c r="E100" s="21">
        <v>1435.1463000000001</v>
      </c>
      <c r="F100" s="21">
        <v>703</v>
      </c>
      <c r="G100" s="21">
        <v>50.733600000000003</v>
      </c>
      <c r="J100" s="6">
        <v>14800</v>
      </c>
      <c r="K100" s="21">
        <v>0.25</v>
      </c>
      <c r="L100" s="21">
        <v>0.15</v>
      </c>
      <c r="M100" s="21">
        <v>1421.4177</v>
      </c>
      <c r="N100" s="21">
        <v>703</v>
      </c>
      <c r="O100" s="21">
        <v>49.932499999999997</v>
      </c>
      <c r="R100" s="6">
        <v>14800</v>
      </c>
      <c r="S100" s="21">
        <v>0.25</v>
      </c>
      <c r="T100" s="21">
        <v>0.15</v>
      </c>
      <c r="U100" s="21">
        <v>1419.7231999999999</v>
      </c>
      <c r="V100" s="21">
        <v>703</v>
      </c>
      <c r="W100" s="21">
        <v>49.8352</v>
      </c>
    </row>
    <row r="101" spans="2:23" x14ac:dyDescent="0.3">
      <c r="B101" s="6">
        <v>15000</v>
      </c>
      <c r="C101" s="21">
        <v>0.25</v>
      </c>
      <c r="D101" s="21">
        <v>0.15</v>
      </c>
      <c r="E101" s="21">
        <v>1435.0918999999999</v>
      </c>
      <c r="F101" s="21">
        <v>703</v>
      </c>
      <c r="G101" s="21">
        <v>50.730400000000003</v>
      </c>
      <c r="J101" s="6">
        <v>15000</v>
      </c>
      <c r="K101" s="21">
        <v>0.25</v>
      </c>
      <c r="L101" s="21">
        <v>0.15</v>
      </c>
      <c r="M101" s="21">
        <v>1421.328</v>
      </c>
      <c r="N101" s="21">
        <v>703</v>
      </c>
      <c r="O101" s="21">
        <v>49.927300000000002</v>
      </c>
      <c r="R101" s="6">
        <v>15000</v>
      </c>
      <c r="S101" s="21">
        <v>0.25</v>
      </c>
      <c r="T101" s="21">
        <v>0.15</v>
      </c>
      <c r="U101" s="21">
        <v>1419.6258</v>
      </c>
      <c r="V101" s="21">
        <v>703</v>
      </c>
      <c r="W101" s="21">
        <v>49.829599999999999</v>
      </c>
    </row>
    <row r="102" spans="2:23" x14ac:dyDescent="0.3">
      <c r="B102" s="6">
        <v>15200</v>
      </c>
      <c r="C102" s="21">
        <v>0.25</v>
      </c>
      <c r="D102" s="21">
        <v>0.15</v>
      </c>
      <c r="E102" s="21">
        <v>1435.0377000000001</v>
      </c>
      <c r="F102" s="21">
        <v>703</v>
      </c>
      <c r="G102" s="21">
        <v>50.727200000000003</v>
      </c>
      <c r="J102" s="6">
        <v>15200</v>
      </c>
      <c r="K102" s="21">
        <v>0.25</v>
      </c>
      <c r="L102" s="21">
        <v>0.15</v>
      </c>
      <c r="M102" s="21">
        <v>1421.2414000000001</v>
      </c>
      <c r="N102" s="21">
        <v>703</v>
      </c>
      <c r="O102" s="21">
        <v>49.9223</v>
      </c>
      <c r="R102" s="6">
        <v>15200</v>
      </c>
      <c r="S102" s="21">
        <v>0.25</v>
      </c>
      <c r="T102" s="21">
        <v>0.15</v>
      </c>
      <c r="U102" s="21">
        <v>1419.5441000000001</v>
      </c>
      <c r="V102" s="21">
        <v>703</v>
      </c>
      <c r="W102" s="21">
        <v>49.8249</v>
      </c>
    </row>
    <row r="103" spans="2:23" x14ac:dyDescent="0.3">
      <c r="B103" s="6">
        <v>15400</v>
      </c>
      <c r="C103" s="21">
        <v>0.25</v>
      </c>
      <c r="D103" s="21">
        <v>0.15</v>
      </c>
      <c r="E103" s="21">
        <v>1434.9838</v>
      </c>
      <c r="F103" s="21">
        <v>703</v>
      </c>
      <c r="G103" s="21">
        <v>50.723999999999997</v>
      </c>
      <c r="J103" s="6">
        <v>15400</v>
      </c>
      <c r="K103" s="21">
        <v>0.25</v>
      </c>
      <c r="L103" s="21">
        <v>0.15</v>
      </c>
      <c r="M103" s="21">
        <v>1421.1697999999999</v>
      </c>
      <c r="N103" s="21">
        <v>703</v>
      </c>
      <c r="O103" s="21">
        <v>49.918199999999999</v>
      </c>
      <c r="R103" s="6">
        <v>15400</v>
      </c>
      <c r="S103" s="21">
        <v>0.25</v>
      </c>
      <c r="T103" s="21">
        <v>0.15</v>
      </c>
      <c r="U103" s="21">
        <v>1419.4706000000001</v>
      </c>
      <c r="V103" s="21">
        <v>703</v>
      </c>
      <c r="W103" s="21">
        <v>49.820700000000002</v>
      </c>
    </row>
    <row r="104" spans="2:23" x14ac:dyDescent="0.3">
      <c r="B104" s="6">
        <v>15600</v>
      </c>
      <c r="C104" s="21">
        <v>0.25</v>
      </c>
      <c r="D104" s="21">
        <v>0.15</v>
      </c>
      <c r="E104" s="21">
        <v>1434.9557</v>
      </c>
      <c r="F104" s="21">
        <v>703</v>
      </c>
      <c r="G104" s="21">
        <v>50.722299999999997</v>
      </c>
      <c r="J104" s="6">
        <v>15600</v>
      </c>
      <c r="K104" s="21">
        <v>0.25</v>
      </c>
      <c r="L104" s="21">
        <v>0.15</v>
      </c>
      <c r="M104" s="21">
        <v>1421.1132</v>
      </c>
      <c r="N104" s="21">
        <v>703</v>
      </c>
      <c r="O104" s="21">
        <v>49.914999999999999</v>
      </c>
      <c r="R104" s="6">
        <v>15600</v>
      </c>
      <c r="S104" s="21">
        <v>0.25</v>
      </c>
      <c r="T104" s="21">
        <v>0.15</v>
      </c>
      <c r="U104" s="21">
        <v>1419.4097999999999</v>
      </c>
      <c r="V104" s="21">
        <v>703</v>
      </c>
      <c r="W104" s="21">
        <v>49.8172</v>
      </c>
    </row>
    <row r="105" spans="2:23" x14ac:dyDescent="0.3">
      <c r="B105" s="6">
        <v>15800</v>
      </c>
      <c r="C105" s="21">
        <v>0.25</v>
      </c>
      <c r="D105" s="21">
        <v>0.15</v>
      </c>
      <c r="E105" s="21">
        <v>1434.9276</v>
      </c>
      <c r="F105" s="21">
        <v>703</v>
      </c>
      <c r="G105" s="21">
        <v>50.720700000000001</v>
      </c>
      <c r="J105" s="6">
        <v>15800</v>
      </c>
      <c r="K105" s="21">
        <v>0.25</v>
      </c>
      <c r="L105" s="21">
        <v>0.15</v>
      </c>
      <c r="M105" s="21">
        <v>1421.058</v>
      </c>
      <c r="N105" s="21">
        <v>703</v>
      </c>
      <c r="O105" s="21">
        <v>49.911799999999999</v>
      </c>
      <c r="R105" s="6">
        <v>15800</v>
      </c>
      <c r="S105" s="21">
        <v>0.25</v>
      </c>
      <c r="T105" s="21">
        <v>0.15</v>
      </c>
      <c r="U105" s="21">
        <v>1419.3544999999999</v>
      </c>
      <c r="V105" s="21">
        <v>703</v>
      </c>
      <c r="W105" s="21">
        <v>49.814</v>
      </c>
    </row>
    <row r="106" spans="2:23" x14ac:dyDescent="0.3">
      <c r="B106" s="6">
        <v>16000</v>
      </c>
      <c r="C106" s="21">
        <v>0.25</v>
      </c>
      <c r="D106" s="21">
        <v>0.15</v>
      </c>
      <c r="E106" s="21">
        <v>1434.8996</v>
      </c>
      <c r="F106" s="21">
        <v>703</v>
      </c>
      <c r="G106" s="21">
        <v>50.719000000000001</v>
      </c>
      <c r="J106" s="6">
        <v>16000</v>
      </c>
      <c r="K106" s="21">
        <v>0.25</v>
      </c>
      <c r="L106" s="21">
        <v>0.15</v>
      </c>
      <c r="M106" s="21">
        <v>1421.0164</v>
      </c>
      <c r="N106" s="21">
        <v>703</v>
      </c>
      <c r="O106" s="21">
        <v>49.909399999999998</v>
      </c>
      <c r="R106" s="6">
        <v>16000</v>
      </c>
      <c r="S106" s="21">
        <v>0.25</v>
      </c>
      <c r="T106" s="21">
        <v>0.15</v>
      </c>
      <c r="U106" s="21">
        <v>1419.3094000000001</v>
      </c>
      <c r="V106" s="21">
        <v>703</v>
      </c>
      <c r="W106" s="21">
        <v>49.811500000000002</v>
      </c>
    </row>
    <row r="107" spans="2:23" x14ac:dyDescent="0.3">
      <c r="B107" s="6">
        <v>16200</v>
      </c>
      <c r="C107" s="21">
        <v>0.25</v>
      </c>
      <c r="D107" s="21">
        <v>0.15</v>
      </c>
      <c r="E107" s="21">
        <v>1434.8715999999999</v>
      </c>
      <c r="F107" s="21">
        <v>703</v>
      </c>
      <c r="G107" s="21">
        <v>50.717300000000002</v>
      </c>
      <c r="J107" s="6">
        <v>16200</v>
      </c>
      <c r="K107" s="21">
        <v>0.25</v>
      </c>
      <c r="L107" s="21">
        <v>0.15</v>
      </c>
      <c r="M107" s="21">
        <v>1420.9755</v>
      </c>
      <c r="N107" s="21">
        <v>703</v>
      </c>
      <c r="O107" s="21">
        <v>49.906999999999996</v>
      </c>
      <c r="R107" s="6">
        <v>16200</v>
      </c>
      <c r="S107" s="21">
        <v>0.25</v>
      </c>
      <c r="T107" s="21">
        <v>0.15</v>
      </c>
      <c r="U107" s="21">
        <v>1419.2679000000001</v>
      </c>
      <c r="V107" s="21">
        <v>703</v>
      </c>
      <c r="W107" s="21">
        <v>49.809100000000001</v>
      </c>
    </row>
    <row r="108" spans="2:23" x14ac:dyDescent="0.3">
      <c r="B108" s="6">
        <v>16400</v>
      </c>
      <c r="C108" s="21">
        <v>0.25</v>
      </c>
      <c r="D108" s="21">
        <v>0.15</v>
      </c>
      <c r="E108" s="21">
        <v>1434.8436999999999</v>
      </c>
      <c r="F108" s="21">
        <v>703</v>
      </c>
      <c r="G108" s="21">
        <v>50.715699999999998</v>
      </c>
      <c r="J108" s="6">
        <v>16400</v>
      </c>
      <c r="K108" s="21">
        <v>0.25</v>
      </c>
      <c r="L108" s="21">
        <v>0.15</v>
      </c>
      <c r="M108" s="21">
        <v>1420.9483</v>
      </c>
      <c r="N108" s="21">
        <v>703</v>
      </c>
      <c r="O108" s="21">
        <v>49.905500000000004</v>
      </c>
      <c r="R108" s="6">
        <v>16400</v>
      </c>
      <c r="S108" s="21">
        <v>0.25</v>
      </c>
      <c r="T108" s="21">
        <v>0.15</v>
      </c>
      <c r="U108" s="21">
        <v>1419.2352000000001</v>
      </c>
      <c r="V108" s="21">
        <v>703</v>
      </c>
      <c r="W108" s="21">
        <v>49.807200000000002</v>
      </c>
    </row>
    <row r="109" spans="2:23" x14ac:dyDescent="0.3">
      <c r="B109" s="6">
        <v>16600</v>
      </c>
      <c r="C109" s="21">
        <v>0.25</v>
      </c>
      <c r="D109" s="21">
        <v>0.15</v>
      </c>
      <c r="E109" s="21">
        <v>1434.8426999999999</v>
      </c>
      <c r="F109" s="21">
        <v>703</v>
      </c>
      <c r="G109" s="21">
        <v>50.715600000000002</v>
      </c>
      <c r="J109" s="6">
        <v>16600</v>
      </c>
      <c r="K109" s="21">
        <v>0.25</v>
      </c>
      <c r="L109" s="21">
        <v>0.15</v>
      </c>
      <c r="M109" s="21">
        <v>1420.9214999999999</v>
      </c>
      <c r="N109" s="21">
        <v>703</v>
      </c>
      <c r="O109" s="21">
        <v>49.9039</v>
      </c>
      <c r="R109" s="6">
        <v>16600</v>
      </c>
      <c r="S109" s="21">
        <v>0.25</v>
      </c>
      <c r="T109" s="21">
        <v>0.15</v>
      </c>
      <c r="U109" s="21">
        <v>1419.2048</v>
      </c>
      <c r="V109" s="21">
        <v>703</v>
      </c>
      <c r="W109" s="21">
        <v>49.805500000000002</v>
      </c>
    </row>
    <row r="110" spans="2:23" x14ac:dyDescent="0.3">
      <c r="B110" s="6">
        <v>16800</v>
      </c>
      <c r="C110" s="21">
        <v>0.25</v>
      </c>
      <c r="D110" s="21">
        <v>0.15</v>
      </c>
      <c r="E110" s="21">
        <v>1434.8416</v>
      </c>
      <c r="F110" s="21">
        <v>703</v>
      </c>
      <c r="G110" s="21">
        <v>50.715600000000002</v>
      </c>
      <c r="J110" s="6">
        <v>16800</v>
      </c>
      <c r="K110" s="21">
        <v>0.25</v>
      </c>
      <c r="L110" s="21">
        <v>0.15</v>
      </c>
      <c r="M110" s="21">
        <v>1420.8951</v>
      </c>
      <c r="N110" s="21">
        <v>703</v>
      </c>
      <c r="O110" s="21">
        <v>49.9024</v>
      </c>
      <c r="R110" s="6">
        <v>16800</v>
      </c>
      <c r="S110" s="21">
        <v>0.25</v>
      </c>
      <c r="T110" s="21">
        <v>0.15</v>
      </c>
      <c r="U110" s="21">
        <v>1419.1818000000001</v>
      </c>
      <c r="V110" s="21">
        <v>703</v>
      </c>
      <c r="W110" s="21">
        <v>49.804200000000002</v>
      </c>
    </row>
    <row r="111" spans="2:23" x14ac:dyDescent="0.3">
      <c r="B111" s="6">
        <v>17000</v>
      </c>
      <c r="C111" s="21">
        <v>0.25</v>
      </c>
      <c r="D111" s="21">
        <v>0.15</v>
      </c>
      <c r="E111" s="21">
        <v>1434.8406</v>
      </c>
      <c r="F111" s="21">
        <v>703</v>
      </c>
      <c r="G111" s="21">
        <v>50.715499999999999</v>
      </c>
      <c r="J111" s="6">
        <v>17000</v>
      </c>
      <c r="K111" s="21">
        <v>0.25</v>
      </c>
      <c r="L111" s="21">
        <v>0.15</v>
      </c>
      <c r="M111" s="21">
        <v>1420.8688999999999</v>
      </c>
      <c r="N111" s="21">
        <v>703</v>
      </c>
      <c r="O111" s="21">
        <v>49.9009</v>
      </c>
      <c r="R111" s="6">
        <v>17000</v>
      </c>
      <c r="S111" s="21">
        <v>0.25</v>
      </c>
      <c r="T111" s="21">
        <v>0.15</v>
      </c>
      <c r="U111" s="21">
        <v>1419.1601000000001</v>
      </c>
      <c r="V111" s="21">
        <v>703</v>
      </c>
      <c r="W111" s="21">
        <v>49.802900000000001</v>
      </c>
    </row>
    <row r="112" spans="2:23" x14ac:dyDescent="0.3">
      <c r="B112" s="6">
        <v>17200</v>
      </c>
      <c r="C112" s="21">
        <v>0.25</v>
      </c>
      <c r="D112" s="21">
        <v>0.15</v>
      </c>
      <c r="E112" s="21">
        <v>1434.8395</v>
      </c>
      <c r="F112" s="21">
        <v>703</v>
      </c>
      <c r="G112" s="21">
        <v>50.715400000000002</v>
      </c>
      <c r="J112" s="6">
        <v>17200</v>
      </c>
      <c r="K112" s="21">
        <v>0.25</v>
      </c>
      <c r="L112" s="21">
        <v>0.15</v>
      </c>
      <c r="M112" s="21">
        <v>1420.8553999999999</v>
      </c>
      <c r="N112" s="21">
        <v>703</v>
      </c>
      <c r="O112" s="21">
        <v>49.900100000000002</v>
      </c>
      <c r="R112" s="6">
        <v>17200</v>
      </c>
      <c r="S112" s="21">
        <v>0.25</v>
      </c>
      <c r="T112" s="21">
        <v>0.15</v>
      </c>
      <c r="U112" s="21">
        <v>1419.1451</v>
      </c>
      <c r="V112" s="21">
        <v>703</v>
      </c>
      <c r="W112" s="21">
        <v>49.802100000000003</v>
      </c>
    </row>
    <row r="113" spans="2:23" x14ac:dyDescent="0.3">
      <c r="B113" s="6">
        <v>17400</v>
      </c>
      <c r="C113" s="21">
        <v>0.25</v>
      </c>
      <c r="D113" s="21">
        <v>0.15</v>
      </c>
      <c r="E113" s="21">
        <v>1434.8385000000001</v>
      </c>
      <c r="F113" s="21">
        <v>703</v>
      </c>
      <c r="G113" s="21">
        <v>50.715400000000002</v>
      </c>
      <c r="J113" s="6">
        <v>17400</v>
      </c>
      <c r="K113" s="21">
        <v>0.25</v>
      </c>
      <c r="L113" s="21">
        <v>0.15</v>
      </c>
      <c r="M113" s="21">
        <v>1420.8418999999999</v>
      </c>
      <c r="N113" s="21">
        <v>703</v>
      </c>
      <c r="O113" s="21">
        <v>49.8994</v>
      </c>
      <c r="R113" s="6">
        <v>17400</v>
      </c>
      <c r="S113" s="21">
        <v>0.25</v>
      </c>
      <c r="T113" s="21">
        <v>0.15</v>
      </c>
      <c r="U113" s="21">
        <v>1419.1310000000001</v>
      </c>
      <c r="V113" s="21">
        <v>703</v>
      </c>
      <c r="W113" s="21">
        <v>49.801200000000001</v>
      </c>
    </row>
    <row r="114" spans="2:23" x14ac:dyDescent="0.3">
      <c r="B114" s="6">
        <v>17600</v>
      </c>
      <c r="C114" s="21">
        <v>0.25</v>
      </c>
      <c r="D114" s="21">
        <v>0.15</v>
      </c>
      <c r="E114" s="21">
        <v>1434.8375000000001</v>
      </c>
      <c r="F114" s="21">
        <v>703</v>
      </c>
      <c r="G114" s="21">
        <v>50.715299999999999</v>
      </c>
      <c r="J114" s="6">
        <v>17600</v>
      </c>
      <c r="K114" s="21">
        <v>0.25</v>
      </c>
      <c r="L114" s="21">
        <v>0.15</v>
      </c>
      <c r="M114" s="21">
        <v>1420.8285000000001</v>
      </c>
      <c r="N114" s="21">
        <v>703</v>
      </c>
      <c r="O114" s="21">
        <v>49.898600000000002</v>
      </c>
      <c r="R114" s="6">
        <v>17600</v>
      </c>
      <c r="S114" s="21">
        <v>0.25</v>
      </c>
      <c r="T114" s="21">
        <v>0.15</v>
      </c>
      <c r="U114" s="21">
        <v>1419.1175000000001</v>
      </c>
      <c r="V114" s="21">
        <v>703</v>
      </c>
      <c r="W114" s="21">
        <v>49.8005</v>
      </c>
    </row>
    <row r="115" spans="2:23" x14ac:dyDescent="0.3">
      <c r="B115" s="6">
        <v>17800</v>
      </c>
      <c r="C115" s="21">
        <v>0.25</v>
      </c>
      <c r="D115" s="21">
        <v>0.15</v>
      </c>
      <c r="E115" s="21">
        <v>1434.8363999999999</v>
      </c>
      <c r="F115" s="21">
        <v>703</v>
      </c>
      <c r="G115" s="21">
        <v>50.715299999999999</v>
      </c>
      <c r="J115" s="6">
        <v>17800</v>
      </c>
      <c r="K115" s="21">
        <v>0.25</v>
      </c>
      <c r="L115" s="21">
        <v>0.15</v>
      </c>
      <c r="M115" s="21">
        <v>1420.8153</v>
      </c>
      <c r="N115" s="21">
        <v>703</v>
      </c>
      <c r="O115" s="21">
        <v>49.897799999999997</v>
      </c>
      <c r="R115" s="6">
        <v>17800</v>
      </c>
      <c r="S115" s="21">
        <v>0.25</v>
      </c>
      <c r="T115" s="21">
        <v>0.15</v>
      </c>
      <c r="U115" s="21">
        <v>1419.1044999999999</v>
      </c>
      <c r="V115" s="21">
        <v>703</v>
      </c>
      <c r="W115" s="21">
        <v>49.799700000000001</v>
      </c>
    </row>
    <row r="116" spans="2:23" x14ac:dyDescent="0.3">
      <c r="B116" s="6">
        <v>18000</v>
      </c>
      <c r="C116" s="21">
        <v>0.25</v>
      </c>
      <c r="D116" s="21">
        <v>0.15</v>
      </c>
      <c r="E116" s="21">
        <v>1434.8353999999999</v>
      </c>
      <c r="F116" s="21">
        <v>703</v>
      </c>
      <c r="G116" s="21">
        <v>50.715200000000003</v>
      </c>
      <c r="J116" s="6">
        <v>18000</v>
      </c>
      <c r="K116" s="21">
        <v>0.25</v>
      </c>
      <c r="L116" s="21">
        <v>0.15</v>
      </c>
      <c r="M116" s="21">
        <v>1420.8021000000001</v>
      </c>
      <c r="N116" s="21">
        <v>703</v>
      </c>
      <c r="O116" s="21">
        <v>49.897100000000002</v>
      </c>
      <c r="R116" s="6">
        <v>18000</v>
      </c>
      <c r="S116" s="21">
        <v>0.25</v>
      </c>
      <c r="T116" s="21">
        <v>0.15</v>
      </c>
      <c r="U116" s="21">
        <v>1419.0977</v>
      </c>
      <c r="V116" s="21">
        <v>703</v>
      </c>
      <c r="W116" s="21">
        <v>49.799300000000002</v>
      </c>
    </row>
    <row r="117" spans="2:23" x14ac:dyDescent="0.3">
      <c r="B117" s="6">
        <v>18200</v>
      </c>
      <c r="C117" s="21">
        <v>0.25</v>
      </c>
      <c r="D117" s="21">
        <v>0.15</v>
      </c>
      <c r="E117" s="21">
        <v>1434.8343</v>
      </c>
      <c r="F117" s="21">
        <v>703</v>
      </c>
      <c r="G117" s="21">
        <v>50.7151</v>
      </c>
      <c r="J117" s="6">
        <v>18200</v>
      </c>
      <c r="K117" s="21">
        <v>0.25</v>
      </c>
      <c r="L117" s="21">
        <v>0.15</v>
      </c>
      <c r="M117" s="21">
        <v>1420.789</v>
      </c>
      <c r="N117" s="21">
        <v>703</v>
      </c>
      <c r="O117" s="21">
        <v>49.896299999999997</v>
      </c>
      <c r="R117" s="6">
        <v>18200</v>
      </c>
      <c r="S117" s="21">
        <v>0.25</v>
      </c>
      <c r="T117" s="21">
        <v>0.15</v>
      </c>
      <c r="U117" s="21">
        <v>1419.0909999999999</v>
      </c>
      <c r="V117" s="21">
        <v>703</v>
      </c>
      <c r="W117" s="21">
        <v>49.798999999999999</v>
      </c>
    </row>
    <row r="118" spans="2:23" x14ac:dyDescent="0.3">
      <c r="B118" s="6">
        <v>18400</v>
      </c>
      <c r="C118" s="21">
        <v>0.25</v>
      </c>
      <c r="D118" s="21">
        <v>0.15</v>
      </c>
      <c r="E118" s="21">
        <v>1434.8333</v>
      </c>
      <c r="F118" s="21">
        <v>703</v>
      </c>
      <c r="G118" s="21">
        <v>50.7151</v>
      </c>
      <c r="J118" s="6">
        <v>18400</v>
      </c>
      <c r="K118" s="21">
        <v>0.25</v>
      </c>
      <c r="L118" s="21">
        <v>0.15</v>
      </c>
      <c r="M118" s="21">
        <v>1420.7883999999999</v>
      </c>
      <c r="N118" s="21">
        <v>703</v>
      </c>
      <c r="O118" s="21">
        <v>49.896299999999997</v>
      </c>
      <c r="R118" s="6">
        <v>18400</v>
      </c>
      <c r="S118" s="21">
        <v>0.25</v>
      </c>
      <c r="T118" s="21">
        <v>0.15</v>
      </c>
      <c r="U118" s="21">
        <v>1419.0844999999999</v>
      </c>
      <c r="V118" s="21">
        <v>703</v>
      </c>
      <c r="W118" s="21">
        <v>49.7986</v>
      </c>
    </row>
    <row r="119" spans="2:23" x14ac:dyDescent="0.3">
      <c r="B119" s="5"/>
      <c r="C119" s="32"/>
      <c r="D119" s="32"/>
      <c r="E119" s="32"/>
      <c r="F119" s="32"/>
      <c r="G119" s="32"/>
      <c r="J119" s="5"/>
      <c r="K119" s="32"/>
      <c r="L119" s="32"/>
      <c r="M119" s="32"/>
      <c r="N119" s="32"/>
      <c r="O119" s="32"/>
      <c r="R119" s="5"/>
      <c r="S119" s="32"/>
      <c r="T119" s="32"/>
      <c r="U119" s="32"/>
      <c r="V119" s="32"/>
      <c r="W119" s="32"/>
    </row>
    <row r="120" spans="2:23" ht="16.2" thickBot="1" x14ac:dyDescent="0.35">
      <c r="B120" s="1" t="s">
        <v>19</v>
      </c>
      <c r="C120" s="42" t="s">
        <v>20</v>
      </c>
      <c r="D120" s="42"/>
      <c r="E120" s="42"/>
      <c r="J120" s="1" t="s">
        <v>19</v>
      </c>
      <c r="K120" s="42" t="s">
        <v>21</v>
      </c>
      <c r="L120" s="42"/>
      <c r="M120" s="42"/>
      <c r="N120" s="2"/>
      <c r="O120" s="2"/>
      <c r="R120" s="1" t="s">
        <v>19</v>
      </c>
      <c r="S120" s="42" t="s">
        <v>22</v>
      </c>
      <c r="T120" s="42"/>
      <c r="U120" s="42"/>
      <c r="V120" s="2"/>
      <c r="W120" s="2"/>
    </row>
    <row r="121" spans="2:23" x14ac:dyDescent="0.3">
      <c r="B121" s="3"/>
      <c r="C121" s="31" t="s">
        <v>6</v>
      </c>
      <c r="D121" s="30" t="s">
        <v>7</v>
      </c>
      <c r="E121" s="28"/>
      <c r="J121" s="3"/>
      <c r="K121" s="31" t="s">
        <v>6</v>
      </c>
      <c r="L121" s="30" t="s">
        <v>7</v>
      </c>
      <c r="M121" s="28"/>
      <c r="N121" s="2"/>
      <c r="O121" s="2"/>
      <c r="R121" s="3"/>
      <c r="S121" s="31" t="s">
        <v>6</v>
      </c>
      <c r="T121" s="30" t="s">
        <v>7</v>
      </c>
      <c r="U121" s="28"/>
      <c r="V121" s="2"/>
      <c r="W121" s="2"/>
    </row>
    <row r="122" spans="2:23" ht="16.2" thickBot="1" x14ac:dyDescent="0.35">
      <c r="B122" s="25" t="s">
        <v>13</v>
      </c>
      <c r="C122" s="33">
        <v>241</v>
      </c>
      <c r="D122" s="34">
        <v>241</v>
      </c>
      <c r="E122" s="29"/>
      <c r="J122" s="25" t="s">
        <v>13</v>
      </c>
      <c r="K122" s="33">
        <v>121</v>
      </c>
      <c r="L122" s="34">
        <v>121</v>
      </c>
      <c r="M122" s="29"/>
      <c r="N122" s="2"/>
      <c r="O122" s="2"/>
      <c r="R122" s="25" t="s">
        <v>13</v>
      </c>
      <c r="S122" s="33">
        <v>61</v>
      </c>
      <c r="T122" s="34">
        <v>61</v>
      </c>
      <c r="U122" s="29"/>
      <c r="V122" s="2"/>
      <c r="W122" s="2"/>
    </row>
    <row r="123" spans="2:23" x14ac:dyDescent="0.3">
      <c r="B123" s="26" t="s">
        <v>14</v>
      </c>
      <c r="C123" s="35">
        <v>200</v>
      </c>
      <c r="D123" s="32"/>
      <c r="E123" s="29"/>
      <c r="J123" s="26" t="s">
        <v>14</v>
      </c>
      <c r="K123" s="35">
        <v>200</v>
      </c>
      <c r="L123" s="32"/>
      <c r="M123" s="29"/>
      <c r="N123" s="2"/>
      <c r="O123" s="2"/>
      <c r="R123" s="26" t="s">
        <v>14</v>
      </c>
      <c r="S123" s="35">
        <v>200</v>
      </c>
      <c r="T123" s="32"/>
      <c r="U123" s="29"/>
      <c r="V123" s="2"/>
      <c r="W123" s="2"/>
    </row>
    <row r="124" spans="2:23" ht="16.2" thickBot="1" x14ac:dyDescent="0.35">
      <c r="B124" s="26" t="s">
        <v>15</v>
      </c>
      <c r="C124" s="21" t="s">
        <v>12</v>
      </c>
      <c r="D124" s="32"/>
      <c r="E124" s="29"/>
      <c r="J124" s="26" t="s">
        <v>15</v>
      </c>
      <c r="K124" s="21" t="s">
        <v>12</v>
      </c>
      <c r="L124" s="32"/>
      <c r="M124" s="29"/>
      <c r="N124" s="2"/>
      <c r="O124" s="2"/>
      <c r="R124" s="26" t="s">
        <v>15</v>
      </c>
      <c r="S124" s="21" t="s">
        <v>12</v>
      </c>
      <c r="T124" s="32"/>
      <c r="U124" s="29"/>
      <c r="V124" s="2"/>
      <c r="W124" s="2"/>
    </row>
    <row r="125" spans="2:23" x14ac:dyDescent="0.3">
      <c r="B125" s="26" t="s">
        <v>16</v>
      </c>
      <c r="C125" s="36">
        <v>1E-3</v>
      </c>
      <c r="D125" s="31" t="s">
        <v>6</v>
      </c>
      <c r="E125" s="30" t="s">
        <v>7</v>
      </c>
      <c r="J125" s="26" t="s">
        <v>16</v>
      </c>
      <c r="K125" s="36">
        <v>1E-3</v>
      </c>
      <c r="L125" s="31" t="s">
        <v>6</v>
      </c>
      <c r="M125" s="30" t="s">
        <v>7</v>
      </c>
      <c r="N125" s="2"/>
      <c r="O125" s="2"/>
      <c r="R125" s="26" t="s">
        <v>16</v>
      </c>
      <c r="S125" s="36">
        <v>1E-3</v>
      </c>
      <c r="T125" s="31" t="s">
        <v>6</v>
      </c>
      <c r="U125" s="30" t="s">
        <v>7</v>
      </c>
      <c r="V125" s="2"/>
      <c r="W125" s="2"/>
    </row>
    <row r="126" spans="2:23" ht="16.2" thickBot="1" x14ac:dyDescent="0.35">
      <c r="B126" s="27" t="s">
        <v>18</v>
      </c>
      <c r="C126" s="37">
        <v>2</v>
      </c>
      <c r="D126" s="23">
        <f>VLOOKUP(C126,$J$4:$L$12,2,FALSE)</f>
        <v>0.5</v>
      </c>
      <c r="E126" s="24">
        <f>VLOOKUP(C126,$J$4:$L$12,3,FALSE)</f>
        <v>0.15</v>
      </c>
      <c r="J126" s="27" t="s">
        <v>18</v>
      </c>
      <c r="K126" s="37">
        <v>2</v>
      </c>
      <c r="L126" s="23">
        <f>VLOOKUP(K126,$J$4:$L$12,2,FALSE)</f>
        <v>0.5</v>
      </c>
      <c r="M126" s="24">
        <f>VLOOKUP(K126,$J$4:$L$12,3,FALSE)</f>
        <v>0.15</v>
      </c>
      <c r="N126" s="2"/>
      <c r="O126" s="2"/>
      <c r="R126" s="27" t="s">
        <v>18</v>
      </c>
      <c r="S126" s="37">
        <v>2</v>
      </c>
      <c r="T126" s="23">
        <f>VLOOKUP(S126,$J$4:$L$12,2,FALSE)</f>
        <v>0.5</v>
      </c>
      <c r="U126" s="24">
        <f>VLOOKUP(S126,$J$4:$L$12,3,FALSE)</f>
        <v>0.15</v>
      </c>
      <c r="V126" s="2"/>
      <c r="W126" s="2"/>
    </row>
    <row r="127" spans="2:23" x14ac:dyDescent="0.3">
      <c r="K127" s="2"/>
      <c r="L127" s="2"/>
      <c r="M127" s="2"/>
      <c r="N127" s="2"/>
      <c r="O127" s="2"/>
      <c r="S127" s="2"/>
      <c r="T127" s="2"/>
      <c r="U127" s="2"/>
      <c r="V127" s="2"/>
      <c r="W127" s="2"/>
    </row>
    <row r="128" spans="2:23" x14ac:dyDescent="0.3">
      <c r="B128" s="38" t="s">
        <v>0</v>
      </c>
      <c r="C128" s="39" t="s">
        <v>1</v>
      </c>
      <c r="D128" s="39" t="s">
        <v>2</v>
      </c>
      <c r="E128" s="39" t="s">
        <v>3</v>
      </c>
      <c r="F128" s="39" t="s">
        <v>4</v>
      </c>
      <c r="G128" s="39" t="s">
        <v>5</v>
      </c>
      <c r="J128" s="38" t="s">
        <v>0</v>
      </c>
      <c r="K128" s="39" t="s">
        <v>1</v>
      </c>
      <c r="L128" s="39" t="s">
        <v>2</v>
      </c>
      <c r="M128" s="39" t="s">
        <v>3</v>
      </c>
      <c r="N128" s="39" t="s">
        <v>4</v>
      </c>
      <c r="O128" s="39" t="s">
        <v>5</v>
      </c>
      <c r="R128" s="38" t="s">
        <v>0</v>
      </c>
      <c r="S128" s="39" t="s">
        <v>1</v>
      </c>
      <c r="T128" s="39" t="s">
        <v>2</v>
      </c>
      <c r="U128" s="39" t="s">
        <v>3</v>
      </c>
      <c r="V128" s="39" t="s">
        <v>4</v>
      </c>
      <c r="W128" s="39" t="s">
        <v>5</v>
      </c>
    </row>
    <row r="129" spans="2:23" x14ac:dyDescent="0.3">
      <c r="B129" s="6">
        <v>0</v>
      </c>
      <c r="C129" s="21">
        <v>0.5</v>
      </c>
      <c r="D129" s="21">
        <v>0.15</v>
      </c>
      <c r="E129" s="21">
        <v>300</v>
      </c>
      <c r="F129" s="21">
        <v>478.57299999999998</v>
      </c>
      <c r="G129" s="21">
        <v>62.213700000000003</v>
      </c>
      <c r="J129" s="6">
        <v>0</v>
      </c>
      <c r="K129" s="21">
        <v>0.5</v>
      </c>
      <c r="L129" s="21">
        <v>0.15</v>
      </c>
      <c r="M129" s="21">
        <v>300</v>
      </c>
      <c r="N129" s="21">
        <v>478.57299999999998</v>
      </c>
      <c r="O129" s="21">
        <v>62.213700000000003</v>
      </c>
      <c r="R129" s="6">
        <v>0</v>
      </c>
      <c r="S129" s="21">
        <v>0.5</v>
      </c>
      <c r="T129" s="21">
        <v>0.15</v>
      </c>
      <c r="U129" s="21">
        <v>300</v>
      </c>
      <c r="V129" s="21">
        <v>478.57299999999998</v>
      </c>
      <c r="W129" s="21">
        <v>62.213700000000003</v>
      </c>
    </row>
    <row r="130" spans="2:23" x14ac:dyDescent="0.3">
      <c r="B130" s="21">
        <v>200</v>
      </c>
      <c r="C130" s="21">
        <v>0.5</v>
      </c>
      <c r="D130" s="21">
        <v>0.15</v>
      </c>
      <c r="E130" s="21">
        <v>380.00080000000003</v>
      </c>
      <c r="F130" s="21">
        <v>459.34609999999998</v>
      </c>
      <c r="G130" s="21">
        <v>59.015799999999999</v>
      </c>
      <c r="J130" s="21">
        <v>200</v>
      </c>
      <c r="K130" s="21">
        <v>0.5</v>
      </c>
      <c r="L130" s="21">
        <v>0.15</v>
      </c>
      <c r="M130" s="21">
        <v>382.54180000000002</v>
      </c>
      <c r="N130" s="21">
        <v>459.97620000000001</v>
      </c>
      <c r="O130" s="21">
        <v>58.906199999999998</v>
      </c>
      <c r="R130" s="21">
        <v>200</v>
      </c>
      <c r="S130" s="21">
        <v>0.5</v>
      </c>
      <c r="T130" s="21">
        <v>0.15</v>
      </c>
      <c r="U130" s="21">
        <v>382.8451</v>
      </c>
      <c r="V130" s="21">
        <v>460.05509999999998</v>
      </c>
      <c r="W130" s="21">
        <v>58.893099999999997</v>
      </c>
    </row>
    <row r="131" spans="2:23" x14ac:dyDescent="0.3">
      <c r="B131" s="21">
        <v>400</v>
      </c>
      <c r="C131" s="21">
        <v>0.5</v>
      </c>
      <c r="D131" s="21">
        <v>0.15</v>
      </c>
      <c r="E131" s="21">
        <v>453.22809999999998</v>
      </c>
      <c r="F131" s="21">
        <v>494.3562</v>
      </c>
      <c r="G131" s="21">
        <v>55.735199999999999</v>
      </c>
      <c r="J131" s="21">
        <v>400</v>
      </c>
      <c r="K131" s="21">
        <v>0.5</v>
      </c>
      <c r="L131" s="21">
        <v>0.15</v>
      </c>
      <c r="M131" s="21">
        <v>457.96550000000002</v>
      </c>
      <c r="N131" s="21">
        <v>497.42619999999999</v>
      </c>
      <c r="O131" s="21">
        <v>55.516599999999997</v>
      </c>
      <c r="R131" s="21">
        <v>400</v>
      </c>
      <c r="S131" s="21">
        <v>0.5</v>
      </c>
      <c r="T131" s="21">
        <v>0.15</v>
      </c>
      <c r="U131" s="21">
        <v>458.56209999999999</v>
      </c>
      <c r="V131" s="21">
        <v>497.81659999999999</v>
      </c>
      <c r="W131" s="21">
        <v>55.489100000000001</v>
      </c>
    </row>
    <row r="132" spans="2:23" x14ac:dyDescent="0.3">
      <c r="B132" s="21">
        <v>600</v>
      </c>
      <c r="C132" s="21">
        <v>0.5</v>
      </c>
      <c r="D132" s="21">
        <v>0.15</v>
      </c>
      <c r="E132" s="21">
        <v>515.45519999999999</v>
      </c>
      <c r="F132" s="21">
        <v>536.82039999999995</v>
      </c>
      <c r="G132" s="21">
        <v>52.843400000000003</v>
      </c>
      <c r="J132" s="21">
        <v>600</v>
      </c>
      <c r="K132" s="21">
        <v>0.5</v>
      </c>
      <c r="L132" s="21">
        <v>0.15</v>
      </c>
      <c r="M132" s="21">
        <v>522.16899999999998</v>
      </c>
      <c r="N132" s="21">
        <v>541.41420000000005</v>
      </c>
      <c r="O132" s="21">
        <v>52.531100000000002</v>
      </c>
      <c r="R132" s="21">
        <v>600</v>
      </c>
      <c r="S132" s="21">
        <v>0.5</v>
      </c>
      <c r="T132" s="21">
        <v>0.15</v>
      </c>
      <c r="U132" s="21">
        <v>523.03229999999996</v>
      </c>
      <c r="V132" s="21">
        <v>542.00160000000005</v>
      </c>
      <c r="W132" s="21">
        <v>52.490900000000003</v>
      </c>
    </row>
    <row r="133" spans="2:23" x14ac:dyDescent="0.3">
      <c r="B133" s="21">
        <v>800</v>
      </c>
      <c r="C133" s="21">
        <v>0.5</v>
      </c>
      <c r="D133" s="21">
        <v>0.15</v>
      </c>
      <c r="E133" s="21">
        <v>569.77290000000005</v>
      </c>
      <c r="F133" s="21">
        <v>572.03150000000005</v>
      </c>
      <c r="G133" s="21">
        <v>50.337899999999998</v>
      </c>
      <c r="J133" s="21">
        <v>800</v>
      </c>
      <c r="K133" s="21">
        <v>0.5</v>
      </c>
      <c r="L133" s="21">
        <v>0.15</v>
      </c>
      <c r="M133" s="21">
        <v>578.29629999999997</v>
      </c>
      <c r="N133" s="21">
        <v>577.02329999999995</v>
      </c>
      <c r="O133" s="21">
        <v>49.951300000000003</v>
      </c>
      <c r="R133" s="21">
        <v>800</v>
      </c>
      <c r="S133" s="21">
        <v>0.5</v>
      </c>
      <c r="T133" s="21">
        <v>0.15</v>
      </c>
      <c r="U133" s="21">
        <v>579.39409999999998</v>
      </c>
      <c r="V133" s="21">
        <v>577.65350000000001</v>
      </c>
      <c r="W133" s="21">
        <v>49.901699999999998</v>
      </c>
    </row>
    <row r="134" spans="2:23" x14ac:dyDescent="0.3">
      <c r="B134" s="21">
        <v>1000</v>
      </c>
      <c r="C134" s="21">
        <v>0.5</v>
      </c>
      <c r="D134" s="21">
        <v>0.15</v>
      </c>
      <c r="E134" s="21">
        <v>618.37929999999994</v>
      </c>
      <c r="F134" s="21">
        <v>598.07740000000001</v>
      </c>
      <c r="G134" s="21">
        <v>48.171199999999999</v>
      </c>
      <c r="J134" s="21">
        <v>1000</v>
      </c>
      <c r="K134" s="21">
        <v>0.5</v>
      </c>
      <c r="L134" s="21">
        <v>0.15</v>
      </c>
      <c r="M134" s="21">
        <v>628.57820000000004</v>
      </c>
      <c r="N134" s="21">
        <v>602.79179999999997</v>
      </c>
      <c r="O134" s="21">
        <v>47.7303</v>
      </c>
      <c r="R134" s="21">
        <v>1000</v>
      </c>
      <c r="S134" s="21">
        <v>0.5</v>
      </c>
      <c r="T134" s="21">
        <v>0.15</v>
      </c>
      <c r="U134" s="21">
        <v>629.89660000000003</v>
      </c>
      <c r="V134" s="21">
        <v>603.38300000000004</v>
      </c>
      <c r="W134" s="21">
        <v>47.673699999999997</v>
      </c>
    </row>
    <row r="135" spans="2:23" x14ac:dyDescent="0.3">
      <c r="B135" s="21">
        <v>1140</v>
      </c>
      <c r="C135" s="21">
        <v>0.5</v>
      </c>
      <c r="D135" s="21">
        <v>0.15</v>
      </c>
      <c r="E135" s="21">
        <v>650.16959999999995</v>
      </c>
      <c r="F135" s="21">
        <v>611.98030000000006</v>
      </c>
      <c r="G135" s="21">
        <v>46.815899999999999</v>
      </c>
      <c r="J135" s="21">
        <v>1140</v>
      </c>
      <c r="K135" s="21">
        <v>0.5</v>
      </c>
      <c r="L135" s="21">
        <v>0.15</v>
      </c>
      <c r="M135" s="21">
        <v>661.48490000000004</v>
      </c>
      <c r="N135" s="21">
        <v>616.41449999999998</v>
      </c>
      <c r="O135" s="21">
        <v>46.348100000000002</v>
      </c>
      <c r="R135" s="21">
        <v>1140</v>
      </c>
      <c r="S135" s="21">
        <v>0.5</v>
      </c>
      <c r="T135" s="21">
        <v>0.15</v>
      </c>
      <c r="U135" s="21">
        <v>662.9461</v>
      </c>
      <c r="V135" s="21">
        <v>616.97040000000004</v>
      </c>
      <c r="W135" s="21">
        <v>46.2883</v>
      </c>
    </row>
    <row r="136" spans="2:23" x14ac:dyDescent="0.3">
      <c r="B136" s="21">
        <v>1340</v>
      </c>
      <c r="C136" s="21">
        <v>0.5</v>
      </c>
      <c r="D136" s="21">
        <v>0.15</v>
      </c>
      <c r="E136" s="21">
        <v>716.15520000000004</v>
      </c>
      <c r="F136" s="21">
        <v>635.69799999999998</v>
      </c>
      <c r="G136" s="21">
        <v>44.2166</v>
      </c>
      <c r="J136" s="21">
        <v>1340</v>
      </c>
      <c r="K136" s="21">
        <v>0.5</v>
      </c>
      <c r="L136" s="21">
        <v>0.15</v>
      </c>
      <c r="M136" s="21">
        <v>728.57960000000003</v>
      </c>
      <c r="N136" s="21">
        <v>640.03499999999997</v>
      </c>
      <c r="O136" s="21">
        <v>43.765500000000003</v>
      </c>
      <c r="R136" s="21">
        <v>1340</v>
      </c>
      <c r="S136" s="21">
        <v>0.5</v>
      </c>
      <c r="T136" s="21">
        <v>0.15</v>
      </c>
      <c r="U136" s="21">
        <v>730.16780000000006</v>
      </c>
      <c r="V136" s="21">
        <v>640.60109999999997</v>
      </c>
      <c r="W136" s="21">
        <v>43.7089</v>
      </c>
    </row>
    <row r="137" spans="2:23" x14ac:dyDescent="0.3">
      <c r="B137" s="21">
        <v>1540</v>
      </c>
      <c r="C137" s="21">
        <v>0.5</v>
      </c>
      <c r="D137" s="21">
        <v>0.15</v>
      </c>
      <c r="E137" s="21">
        <v>779.58399999999995</v>
      </c>
      <c r="F137" s="21">
        <v>661.25490000000002</v>
      </c>
      <c r="G137" s="21">
        <v>42.062800000000003</v>
      </c>
      <c r="J137" s="21">
        <v>1540</v>
      </c>
      <c r="K137" s="21">
        <v>0.5</v>
      </c>
      <c r="L137" s="21">
        <v>0.15</v>
      </c>
      <c r="M137" s="21">
        <v>792.71950000000004</v>
      </c>
      <c r="N137" s="21">
        <v>668.3809</v>
      </c>
      <c r="O137" s="21">
        <v>41.6661</v>
      </c>
      <c r="R137" s="21">
        <v>1540</v>
      </c>
      <c r="S137" s="21">
        <v>0.5</v>
      </c>
      <c r="T137" s="21">
        <v>0.15</v>
      </c>
      <c r="U137" s="21">
        <v>794.39949999999999</v>
      </c>
      <c r="V137" s="21">
        <v>669.36339999999996</v>
      </c>
      <c r="W137" s="21">
        <v>41.616700000000002</v>
      </c>
    </row>
    <row r="138" spans="2:23" x14ac:dyDescent="0.3">
      <c r="B138" s="21">
        <v>1740</v>
      </c>
      <c r="C138" s="21">
        <v>0.5</v>
      </c>
      <c r="D138" s="21">
        <v>0.15</v>
      </c>
      <c r="E138" s="21">
        <v>835.73590000000002</v>
      </c>
      <c r="F138" s="21">
        <v>700.18050000000005</v>
      </c>
      <c r="G138" s="21">
        <v>40.498199999999997</v>
      </c>
      <c r="J138" s="21">
        <v>1740</v>
      </c>
      <c r="K138" s="21">
        <v>0.5</v>
      </c>
      <c r="L138" s="21">
        <v>0.15</v>
      </c>
      <c r="M138" s="21">
        <v>849.16949999999997</v>
      </c>
      <c r="N138" s="21">
        <v>713.64710000000002</v>
      </c>
      <c r="O138" s="21">
        <v>40.1768</v>
      </c>
      <c r="R138" s="21">
        <v>1740</v>
      </c>
      <c r="S138" s="21">
        <v>0.5</v>
      </c>
      <c r="T138" s="21">
        <v>0.15</v>
      </c>
      <c r="U138" s="21">
        <v>850.87159999999994</v>
      </c>
      <c r="V138" s="21">
        <v>715.50049999999999</v>
      </c>
      <c r="W138" s="21">
        <v>40.137599999999999</v>
      </c>
    </row>
    <row r="139" spans="2:23" x14ac:dyDescent="0.3">
      <c r="B139" s="21">
        <v>1940</v>
      </c>
      <c r="C139" s="21">
        <v>0.5</v>
      </c>
      <c r="D139" s="21">
        <v>0.15</v>
      </c>
      <c r="E139" s="21">
        <v>884.55100000000004</v>
      </c>
      <c r="F139" s="21">
        <v>760.13469999999995</v>
      </c>
      <c r="G139" s="21">
        <v>39.434800000000003</v>
      </c>
      <c r="J139" s="21">
        <v>1940</v>
      </c>
      <c r="K139" s="21">
        <v>0.5</v>
      </c>
      <c r="L139" s="21">
        <v>0.15</v>
      </c>
      <c r="M139" s="21">
        <v>898.10220000000004</v>
      </c>
      <c r="N139" s="21">
        <v>783.02880000000005</v>
      </c>
      <c r="O139" s="21">
        <v>39.192100000000003</v>
      </c>
      <c r="R139" s="21">
        <v>1940</v>
      </c>
      <c r="S139" s="21">
        <v>0.5</v>
      </c>
      <c r="T139" s="21">
        <v>0.15</v>
      </c>
      <c r="U139" s="21">
        <v>899.81140000000005</v>
      </c>
      <c r="V139" s="21">
        <v>786.14580000000001</v>
      </c>
      <c r="W139" s="21">
        <v>39.163200000000003</v>
      </c>
    </row>
    <row r="140" spans="2:23" x14ac:dyDescent="0.3">
      <c r="B140" s="21">
        <v>2140</v>
      </c>
      <c r="C140" s="21">
        <v>0.5</v>
      </c>
      <c r="D140" s="21">
        <v>0.15</v>
      </c>
      <c r="E140" s="21">
        <v>927.13580000000002</v>
      </c>
      <c r="F140" s="21">
        <v>843.74260000000004</v>
      </c>
      <c r="G140" s="21">
        <v>38.752499999999998</v>
      </c>
      <c r="J140" s="21">
        <v>2140</v>
      </c>
      <c r="K140" s="21">
        <v>0.5</v>
      </c>
      <c r="L140" s="21">
        <v>0.15</v>
      </c>
      <c r="M140" s="21">
        <v>940.65129999999999</v>
      </c>
      <c r="N140" s="21">
        <v>878.21510000000001</v>
      </c>
      <c r="O140" s="21">
        <v>38.586100000000002</v>
      </c>
      <c r="R140" s="21">
        <v>2140</v>
      </c>
      <c r="S140" s="21">
        <v>0.5</v>
      </c>
      <c r="T140" s="21">
        <v>0.15</v>
      </c>
      <c r="U140" s="21">
        <v>942.35019999999997</v>
      </c>
      <c r="V140" s="21">
        <v>882.85649999999998</v>
      </c>
      <c r="W140" s="21">
        <v>38.566899999999997</v>
      </c>
    </row>
    <row r="141" spans="2:23" x14ac:dyDescent="0.3">
      <c r="B141" s="21">
        <v>2340</v>
      </c>
      <c r="C141" s="21">
        <v>0.5</v>
      </c>
      <c r="D141" s="21">
        <v>0.15</v>
      </c>
      <c r="E141" s="21">
        <v>964.69169999999997</v>
      </c>
      <c r="F141" s="21">
        <v>950.83860000000004</v>
      </c>
      <c r="G141" s="21">
        <v>38.351700000000001</v>
      </c>
      <c r="J141" s="21">
        <v>2340</v>
      </c>
      <c r="K141" s="21">
        <v>0.5</v>
      </c>
      <c r="L141" s="21">
        <v>0.15</v>
      </c>
      <c r="M141" s="21">
        <v>978.16880000000003</v>
      </c>
      <c r="N141" s="21">
        <v>998.59169999999995</v>
      </c>
      <c r="O141" s="21">
        <v>38.255499999999998</v>
      </c>
      <c r="R141" s="21">
        <v>2340</v>
      </c>
      <c r="S141" s="21">
        <v>0.5</v>
      </c>
      <c r="T141" s="21">
        <v>0.15</v>
      </c>
      <c r="U141" s="21">
        <v>979.76469999999995</v>
      </c>
      <c r="V141" s="21">
        <v>1004.6079</v>
      </c>
      <c r="W141" s="21">
        <v>38.245800000000003</v>
      </c>
    </row>
    <row r="142" spans="2:23" x14ac:dyDescent="0.3">
      <c r="B142" s="21">
        <v>2540</v>
      </c>
      <c r="C142" s="21">
        <v>0.5</v>
      </c>
      <c r="D142" s="21">
        <v>0.15</v>
      </c>
      <c r="E142" s="21">
        <v>998.41970000000003</v>
      </c>
      <c r="F142" s="21">
        <v>1080.9949999999999</v>
      </c>
      <c r="G142" s="21">
        <v>38.159100000000002</v>
      </c>
      <c r="J142" s="21">
        <v>2540</v>
      </c>
      <c r="K142" s="21">
        <v>0.5</v>
      </c>
      <c r="L142" s="21">
        <v>0.15</v>
      </c>
      <c r="M142" s="21">
        <v>1011.9863</v>
      </c>
      <c r="N142" s="21">
        <v>1144.0083999999999</v>
      </c>
      <c r="O142" s="21">
        <v>38.127299999999998</v>
      </c>
      <c r="R142" s="21">
        <v>2540</v>
      </c>
      <c r="S142" s="21">
        <v>0.5</v>
      </c>
      <c r="T142" s="21">
        <v>0.15</v>
      </c>
      <c r="U142" s="21">
        <v>1013.5594</v>
      </c>
      <c r="V142" s="21">
        <v>1151.7471</v>
      </c>
      <c r="W142" s="21">
        <v>38.125300000000003</v>
      </c>
    </row>
    <row r="143" spans="2:23" x14ac:dyDescent="0.3">
      <c r="B143" s="21">
        <v>2740</v>
      </c>
      <c r="C143" s="21">
        <v>0.5</v>
      </c>
      <c r="D143" s="21">
        <v>0.15</v>
      </c>
      <c r="E143" s="21">
        <v>1029.5987</v>
      </c>
      <c r="F143" s="21">
        <v>1236.0509</v>
      </c>
      <c r="G143" s="21">
        <v>38.125799999999998</v>
      </c>
      <c r="J143" s="21">
        <v>2740</v>
      </c>
      <c r="K143" s="21">
        <v>0.5</v>
      </c>
      <c r="L143" s="21">
        <v>0.15</v>
      </c>
      <c r="M143" s="21">
        <v>1043.7021</v>
      </c>
      <c r="N143" s="21">
        <v>1090.4556</v>
      </c>
      <c r="O143" s="21">
        <v>38.157299999999999</v>
      </c>
      <c r="R143" s="21">
        <v>2740</v>
      </c>
      <c r="S143" s="21">
        <v>0.5</v>
      </c>
      <c r="T143" s="21">
        <v>0.15</v>
      </c>
      <c r="U143" s="21">
        <v>1045.2089000000001</v>
      </c>
      <c r="V143" s="21">
        <v>1084.8570999999999</v>
      </c>
      <c r="W143" s="21">
        <v>38.162399999999998</v>
      </c>
    </row>
    <row r="144" spans="2:23" x14ac:dyDescent="0.3">
      <c r="B144" s="21">
        <v>2940</v>
      </c>
      <c r="C144" s="21">
        <v>0.5</v>
      </c>
      <c r="D144" s="21">
        <v>0.15</v>
      </c>
      <c r="E144" s="21">
        <v>1059.3212000000001</v>
      </c>
      <c r="F144" s="21">
        <v>1034.0764999999999</v>
      </c>
      <c r="G144" s="21">
        <v>38.226399999999998</v>
      </c>
      <c r="J144" s="21">
        <v>2940</v>
      </c>
      <c r="K144" s="21">
        <v>0.5</v>
      </c>
      <c r="L144" s="21">
        <v>0.15</v>
      </c>
      <c r="M144" s="21">
        <v>1073.9521</v>
      </c>
      <c r="N144" s="21">
        <v>984.65959999999995</v>
      </c>
      <c r="O144" s="21">
        <v>38.323900000000002</v>
      </c>
      <c r="R144" s="21">
        <v>2940</v>
      </c>
      <c r="S144" s="21">
        <v>0.5</v>
      </c>
      <c r="T144" s="21">
        <v>0.15</v>
      </c>
      <c r="U144" s="21">
        <v>1075.5060000000001</v>
      </c>
      <c r="V144" s="21">
        <v>979.6087</v>
      </c>
      <c r="W144" s="21">
        <v>38.336199999999998</v>
      </c>
    </row>
    <row r="145" spans="2:23" x14ac:dyDescent="0.3">
      <c r="B145" s="21">
        <v>3060</v>
      </c>
      <c r="C145" s="21">
        <v>0.5</v>
      </c>
      <c r="D145" s="21">
        <v>0.15</v>
      </c>
      <c r="E145" s="21">
        <v>1076.6719000000001</v>
      </c>
      <c r="F145" s="21">
        <v>975.8442</v>
      </c>
      <c r="G145" s="21">
        <v>38.345599999999997</v>
      </c>
      <c r="J145" s="21">
        <v>3060</v>
      </c>
      <c r="K145" s="21">
        <v>0.5</v>
      </c>
      <c r="L145" s="21">
        <v>0.15</v>
      </c>
      <c r="M145" s="21">
        <v>1091.6748</v>
      </c>
      <c r="N145" s="21">
        <v>929.3578</v>
      </c>
      <c r="O145" s="21">
        <v>38.484900000000003</v>
      </c>
      <c r="R145" s="21">
        <v>3060</v>
      </c>
      <c r="S145" s="21">
        <v>0.5</v>
      </c>
      <c r="T145" s="21">
        <v>0.15</v>
      </c>
      <c r="U145" s="21">
        <v>1093.2842000000001</v>
      </c>
      <c r="V145" s="21">
        <v>924.58939999999996</v>
      </c>
      <c r="W145" s="21">
        <v>38.501800000000003</v>
      </c>
    </row>
    <row r="146" spans="2:23" x14ac:dyDescent="0.3">
      <c r="B146" s="21">
        <v>3260</v>
      </c>
      <c r="C146" s="21">
        <v>0.5</v>
      </c>
      <c r="D146" s="21">
        <v>0.15</v>
      </c>
      <c r="E146" s="21">
        <v>1116.6215</v>
      </c>
      <c r="F146" s="21">
        <v>860.33299999999997</v>
      </c>
      <c r="G146" s="21">
        <v>38.7913</v>
      </c>
      <c r="J146" s="21">
        <v>3260</v>
      </c>
      <c r="K146" s="21">
        <v>0.5</v>
      </c>
      <c r="L146" s="21">
        <v>0.15</v>
      </c>
      <c r="M146" s="21">
        <v>1132.8178</v>
      </c>
      <c r="N146" s="21">
        <v>821.27369999999996</v>
      </c>
      <c r="O146" s="21">
        <v>39.040300000000002</v>
      </c>
      <c r="R146" s="21">
        <v>3260</v>
      </c>
      <c r="S146" s="21">
        <v>0.5</v>
      </c>
      <c r="T146" s="21">
        <v>0.15</v>
      </c>
      <c r="U146" s="21">
        <v>1134.5971999999999</v>
      </c>
      <c r="V146" s="21">
        <v>817.26689999999996</v>
      </c>
      <c r="W146" s="21">
        <v>39.070099999999996</v>
      </c>
    </row>
    <row r="147" spans="2:23" x14ac:dyDescent="0.3">
      <c r="B147" s="21">
        <v>3460</v>
      </c>
      <c r="C147" s="21">
        <v>0.5</v>
      </c>
      <c r="D147" s="21">
        <v>0.15</v>
      </c>
      <c r="E147" s="21">
        <v>1158.1133</v>
      </c>
      <c r="F147" s="21">
        <v>769.75310000000002</v>
      </c>
      <c r="G147" s="21">
        <v>39.508499999999998</v>
      </c>
      <c r="J147" s="21">
        <v>3460</v>
      </c>
      <c r="K147" s="21">
        <v>0.5</v>
      </c>
      <c r="L147" s="21">
        <v>0.15</v>
      </c>
      <c r="M147" s="21">
        <v>1175.6079</v>
      </c>
      <c r="N147" s="21">
        <v>741.15449999999998</v>
      </c>
      <c r="O147" s="21">
        <v>39.888800000000003</v>
      </c>
      <c r="R147" s="21">
        <v>3460</v>
      </c>
      <c r="S147" s="21">
        <v>0.5</v>
      </c>
      <c r="T147" s="21">
        <v>0.15</v>
      </c>
      <c r="U147" s="21">
        <v>1177.5645999999999</v>
      </c>
      <c r="V147" s="21">
        <v>738.32399999999996</v>
      </c>
      <c r="W147" s="21">
        <v>39.934199999999997</v>
      </c>
    </row>
    <row r="148" spans="2:23" x14ac:dyDescent="0.3">
      <c r="B148" s="21">
        <v>3660</v>
      </c>
      <c r="C148" s="21">
        <v>0.5</v>
      </c>
      <c r="D148" s="21">
        <v>0.15</v>
      </c>
      <c r="E148" s="21">
        <v>1197.9812999999999</v>
      </c>
      <c r="F148" s="21">
        <v>713.32140000000004</v>
      </c>
      <c r="G148" s="21">
        <v>40.4422</v>
      </c>
      <c r="J148" s="21">
        <v>3660</v>
      </c>
      <c r="K148" s="21">
        <v>0.5</v>
      </c>
      <c r="L148" s="21">
        <v>0.15</v>
      </c>
      <c r="M148" s="21">
        <v>1216.5137999999999</v>
      </c>
      <c r="N148" s="21">
        <v>703</v>
      </c>
      <c r="O148" s="21">
        <v>40.9574</v>
      </c>
      <c r="R148" s="21">
        <v>3660</v>
      </c>
      <c r="S148" s="21">
        <v>0.5</v>
      </c>
      <c r="T148" s="21">
        <v>0.15</v>
      </c>
      <c r="U148" s="21">
        <v>1218.6116</v>
      </c>
      <c r="V148" s="21">
        <v>703</v>
      </c>
      <c r="W148" s="21">
        <v>41.018900000000002</v>
      </c>
    </row>
    <row r="149" spans="2:23" x14ac:dyDescent="0.3">
      <c r="B149" s="21">
        <v>3860</v>
      </c>
      <c r="C149" s="21">
        <v>0.5</v>
      </c>
      <c r="D149" s="21">
        <v>0.15</v>
      </c>
      <c r="E149" s="21">
        <v>1235.1467</v>
      </c>
      <c r="F149" s="21">
        <v>703</v>
      </c>
      <c r="G149" s="21">
        <v>41.526899999999998</v>
      </c>
      <c r="J149" s="21">
        <v>3860</v>
      </c>
      <c r="K149" s="21">
        <v>0.5</v>
      </c>
      <c r="L149" s="21">
        <v>0.15</v>
      </c>
      <c r="M149" s="21">
        <v>1254.1362999999999</v>
      </c>
      <c r="N149" s="21">
        <v>703</v>
      </c>
      <c r="O149" s="21">
        <v>42.160200000000003</v>
      </c>
      <c r="R149" s="21">
        <v>3860</v>
      </c>
      <c r="S149" s="21">
        <v>0.5</v>
      </c>
      <c r="T149" s="21">
        <v>0.15</v>
      </c>
      <c r="U149" s="21">
        <v>1256.2742000000001</v>
      </c>
      <c r="V149" s="21">
        <v>703</v>
      </c>
      <c r="W149" s="21">
        <v>42.2348</v>
      </c>
    </row>
    <row r="150" spans="2:23" x14ac:dyDescent="0.3">
      <c r="B150" s="21">
        <v>4060</v>
      </c>
      <c r="C150" s="21">
        <v>0.5</v>
      </c>
      <c r="D150" s="21">
        <v>0.15</v>
      </c>
      <c r="E150" s="21">
        <v>1268.845</v>
      </c>
      <c r="F150" s="21">
        <v>703</v>
      </c>
      <c r="G150" s="21">
        <v>42.686900000000001</v>
      </c>
      <c r="J150" s="21">
        <v>4060</v>
      </c>
      <c r="K150" s="21">
        <v>0.5</v>
      </c>
      <c r="L150" s="21">
        <v>0.15</v>
      </c>
      <c r="M150" s="21">
        <v>1287.8968</v>
      </c>
      <c r="N150" s="21">
        <v>703</v>
      </c>
      <c r="O150" s="21">
        <v>43.415900000000001</v>
      </c>
      <c r="R150" s="21">
        <v>4060</v>
      </c>
      <c r="S150" s="21">
        <v>0.5</v>
      </c>
      <c r="T150" s="21">
        <v>0.15</v>
      </c>
      <c r="U150" s="21">
        <v>1290.0573999999999</v>
      </c>
      <c r="V150" s="21">
        <v>703</v>
      </c>
      <c r="W150" s="21">
        <v>43.501800000000003</v>
      </c>
    </row>
    <row r="151" spans="2:23" x14ac:dyDescent="0.3">
      <c r="B151" s="21">
        <v>4260</v>
      </c>
      <c r="C151" s="21">
        <v>0.5</v>
      </c>
      <c r="D151" s="21">
        <v>0.15</v>
      </c>
      <c r="E151" s="21">
        <v>1298.9337</v>
      </c>
      <c r="F151" s="21">
        <v>703</v>
      </c>
      <c r="G151" s="21">
        <v>43.862000000000002</v>
      </c>
      <c r="J151" s="21">
        <v>4260</v>
      </c>
      <c r="K151" s="21">
        <v>0.5</v>
      </c>
      <c r="L151" s="21">
        <v>0.15</v>
      </c>
      <c r="M151" s="21">
        <v>1317.9266</v>
      </c>
      <c r="N151" s="21">
        <v>703</v>
      </c>
      <c r="O151" s="21">
        <v>44.670099999999998</v>
      </c>
      <c r="R151" s="21">
        <v>4260</v>
      </c>
      <c r="S151" s="21">
        <v>0.5</v>
      </c>
      <c r="T151" s="21">
        <v>0.15</v>
      </c>
      <c r="U151" s="21">
        <v>1320.1027999999999</v>
      </c>
      <c r="V151" s="21">
        <v>703</v>
      </c>
      <c r="W151" s="21">
        <v>44.765900000000002</v>
      </c>
    </row>
    <row r="152" spans="2:23" x14ac:dyDescent="0.3">
      <c r="B152" s="21">
        <v>4460</v>
      </c>
      <c r="C152" s="21">
        <v>0.5</v>
      </c>
      <c r="D152" s="21">
        <v>0.15</v>
      </c>
      <c r="E152" s="21">
        <v>1325.6105</v>
      </c>
      <c r="F152" s="21">
        <v>703</v>
      </c>
      <c r="G152" s="21">
        <v>45.011400000000002</v>
      </c>
      <c r="J152" s="21">
        <v>4460</v>
      </c>
      <c r="K152" s="21">
        <v>0.5</v>
      </c>
      <c r="L152" s="21">
        <v>0.15</v>
      </c>
      <c r="M152" s="21">
        <v>1344.4965</v>
      </c>
      <c r="N152" s="21">
        <v>703</v>
      </c>
      <c r="O152" s="21">
        <v>45.884900000000002</v>
      </c>
      <c r="R152" s="21">
        <v>4460</v>
      </c>
      <c r="S152" s="21">
        <v>0.5</v>
      </c>
      <c r="T152" s="21">
        <v>0.15</v>
      </c>
      <c r="U152" s="21">
        <v>1346.6676</v>
      </c>
      <c r="V152" s="21">
        <v>703</v>
      </c>
      <c r="W152" s="21">
        <v>45.988399999999999</v>
      </c>
    </row>
    <row r="153" spans="2:23" x14ac:dyDescent="0.3">
      <c r="B153" s="21">
        <v>4660</v>
      </c>
      <c r="C153" s="21">
        <v>0.5</v>
      </c>
      <c r="D153" s="21">
        <v>0.15</v>
      </c>
      <c r="E153" s="21">
        <v>1349.1493</v>
      </c>
      <c r="F153" s="21">
        <v>703</v>
      </c>
      <c r="G153" s="21">
        <v>46.107599999999998</v>
      </c>
      <c r="J153" s="21">
        <v>4660</v>
      </c>
      <c r="K153" s="21">
        <v>0.5</v>
      </c>
      <c r="L153" s="21">
        <v>0.15</v>
      </c>
      <c r="M153" s="21">
        <v>1367.8579</v>
      </c>
      <c r="N153" s="21">
        <v>703</v>
      </c>
      <c r="O153" s="21">
        <v>47.032400000000003</v>
      </c>
      <c r="R153" s="21">
        <v>4660</v>
      </c>
      <c r="S153" s="21">
        <v>0.5</v>
      </c>
      <c r="T153" s="21">
        <v>0.15</v>
      </c>
      <c r="U153" s="21">
        <v>1370.0309999999999</v>
      </c>
      <c r="V153" s="21">
        <v>703</v>
      </c>
      <c r="W153" s="21">
        <v>47.142899999999997</v>
      </c>
    </row>
    <row r="154" spans="2:23" x14ac:dyDescent="0.3">
      <c r="B154" s="21">
        <v>4860</v>
      </c>
      <c r="C154" s="21">
        <v>0.5</v>
      </c>
      <c r="D154" s="21">
        <v>0.15</v>
      </c>
      <c r="E154" s="21">
        <v>1369.779</v>
      </c>
      <c r="F154" s="21">
        <v>703</v>
      </c>
      <c r="G154" s="21">
        <v>47.13</v>
      </c>
      <c r="J154" s="21">
        <v>4860</v>
      </c>
      <c r="K154" s="21">
        <v>0.5</v>
      </c>
      <c r="L154" s="21">
        <v>0.15</v>
      </c>
      <c r="M154" s="21">
        <v>1388.3109999999999</v>
      </c>
      <c r="N154" s="21">
        <v>703</v>
      </c>
      <c r="O154" s="21">
        <v>48.096499999999999</v>
      </c>
      <c r="R154" s="21">
        <v>4860</v>
      </c>
      <c r="S154" s="21">
        <v>0.5</v>
      </c>
      <c r="T154" s="21">
        <v>0.15</v>
      </c>
      <c r="U154" s="21">
        <v>1390.4692</v>
      </c>
      <c r="V154" s="21">
        <v>703</v>
      </c>
      <c r="W154" s="21">
        <v>48.212000000000003</v>
      </c>
    </row>
    <row r="155" spans="2:23" x14ac:dyDescent="0.3">
      <c r="B155" s="21">
        <v>4980</v>
      </c>
      <c r="C155" s="21">
        <v>0.5</v>
      </c>
      <c r="D155" s="21">
        <v>0.15</v>
      </c>
      <c r="E155" s="21">
        <v>1381.2053000000001</v>
      </c>
      <c r="F155" s="21">
        <v>703</v>
      </c>
      <c r="G155" s="21">
        <v>47.720700000000001</v>
      </c>
      <c r="J155" s="21">
        <v>4980</v>
      </c>
      <c r="K155" s="21">
        <v>0.5</v>
      </c>
      <c r="L155" s="21">
        <v>0.15</v>
      </c>
      <c r="M155" s="21">
        <v>1399.5985000000001</v>
      </c>
      <c r="N155" s="21">
        <v>703</v>
      </c>
      <c r="O155" s="21">
        <v>48.706899999999997</v>
      </c>
      <c r="R155" s="21">
        <v>4980</v>
      </c>
      <c r="S155" s="21">
        <v>0.5</v>
      </c>
      <c r="T155" s="21">
        <v>0.15</v>
      </c>
      <c r="U155" s="21">
        <v>1401.7409</v>
      </c>
      <c r="V155" s="21">
        <v>703</v>
      </c>
      <c r="W155" s="21">
        <v>48.824599999999997</v>
      </c>
    </row>
    <row r="156" spans="2:23" x14ac:dyDescent="0.3">
      <c r="B156" s="21">
        <v>5180</v>
      </c>
      <c r="C156" s="21">
        <v>0.5</v>
      </c>
      <c r="D156" s="21">
        <v>0.15</v>
      </c>
      <c r="E156" s="21">
        <v>1398.8431</v>
      </c>
      <c r="F156" s="21">
        <v>703</v>
      </c>
      <c r="G156" s="21">
        <v>48.665599999999998</v>
      </c>
      <c r="J156" s="21">
        <v>5180</v>
      </c>
      <c r="K156" s="21">
        <v>0.5</v>
      </c>
      <c r="L156" s="21">
        <v>0.15</v>
      </c>
      <c r="M156" s="21">
        <v>1417.1224</v>
      </c>
      <c r="N156" s="21">
        <v>703</v>
      </c>
      <c r="O156" s="21">
        <v>49.686500000000002</v>
      </c>
      <c r="R156" s="21">
        <v>5180</v>
      </c>
      <c r="S156" s="21">
        <v>0.5</v>
      </c>
      <c r="T156" s="21">
        <v>0.15</v>
      </c>
      <c r="U156" s="21">
        <v>1419.2616</v>
      </c>
      <c r="V156" s="21">
        <v>703</v>
      </c>
      <c r="W156" s="21">
        <v>49.808700000000002</v>
      </c>
    </row>
    <row r="157" spans="2:23" x14ac:dyDescent="0.3">
      <c r="B157" s="21">
        <v>5380</v>
      </c>
      <c r="C157" s="21">
        <v>0.5</v>
      </c>
      <c r="D157" s="21">
        <v>0.15</v>
      </c>
      <c r="E157" s="21">
        <v>1414.1206999999999</v>
      </c>
      <c r="F157" s="21">
        <v>703</v>
      </c>
      <c r="G157" s="21">
        <v>49.515999999999998</v>
      </c>
      <c r="J157" s="21">
        <v>5380</v>
      </c>
      <c r="K157" s="21">
        <v>0.5</v>
      </c>
      <c r="L157" s="21">
        <v>0.15</v>
      </c>
      <c r="M157" s="21">
        <v>1432.1775</v>
      </c>
      <c r="N157" s="21">
        <v>703</v>
      </c>
      <c r="O157" s="21">
        <v>50.558399999999999</v>
      </c>
      <c r="R157" s="21">
        <v>5380</v>
      </c>
      <c r="S157" s="21">
        <v>0.5</v>
      </c>
      <c r="T157" s="21">
        <v>0.15</v>
      </c>
      <c r="U157" s="21">
        <v>1434.3049000000001</v>
      </c>
      <c r="V157" s="21">
        <v>703</v>
      </c>
      <c r="W157" s="21">
        <v>50.683799999999998</v>
      </c>
    </row>
    <row r="158" spans="2:23" x14ac:dyDescent="0.3">
      <c r="B158" s="21">
        <v>5580</v>
      </c>
      <c r="C158" s="21">
        <v>0.5</v>
      </c>
      <c r="D158" s="21">
        <v>0.15</v>
      </c>
      <c r="E158" s="21">
        <v>1427.0681</v>
      </c>
      <c r="F158" s="21">
        <v>703</v>
      </c>
      <c r="G158" s="21">
        <v>50.259399999999999</v>
      </c>
      <c r="J158" s="21">
        <v>5580</v>
      </c>
      <c r="K158" s="21">
        <v>0.5</v>
      </c>
      <c r="L158" s="21">
        <v>0.15</v>
      </c>
      <c r="M158" s="21">
        <v>1444.886</v>
      </c>
      <c r="N158" s="21">
        <v>703</v>
      </c>
      <c r="O158" s="21">
        <v>51.3157</v>
      </c>
      <c r="R158" s="21">
        <v>5580</v>
      </c>
      <c r="S158" s="21">
        <v>0.5</v>
      </c>
      <c r="T158" s="21">
        <v>0.15</v>
      </c>
      <c r="U158" s="21">
        <v>1447.0015000000001</v>
      </c>
      <c r="V158" s="21">
        <v>703</v>
      </c>
      <c r="W158" s="21">
        <v>51.443600000000004</v>
      </c>
    </row>
    <row r="159" spans="2:23" x14ac:dyDescent="0.3">
      <c r="B159" s="21">
        <v>5780</v>
      </c>
      <c r="C159" s="21">
        <v>0.5</v>
      </c>
      <c r="D159" s="21">
        <v>0.15</v>
      </c>
      <c r="E159" s="21">
        <v>1438.0387000000001</v>
      </c>
      <c r="F159" s="21">
        <v>703</v>
      </c>
      <c r="G159" s="21">
        <v>50.905299999999997</v>
      </c>
      <c r="J159" s="21">
        <v>5780</v>
      </c>
      <c r="K159" s="21">
        <v>0.5</v>
      </c>
      <c r="L159" s="21">
        <v>0.15</v>
      </c>
      <c r="M159" s="21">
        <v>1455.6324</v>
      </c>
      <c r="N159" s="21">
        <v>703</v>
      </c>
      <c r="O159" s="21">
        <v>51.970799999999997</v>
      </c>
      <c r="R159" s="21">
        <v>5780</v>
      </c>
      <c r="S159" s="21">
        <v>0.5</v>
      </c>
      <c r="T159" s="21">
        <v>0.15</v>
      </c>
      <c r="U159" s="21">
        <v>1457.7208000000001</v>
      </c>
      <c r="V159" s="21">
        <v>703</v>
      </c>
      <c r="W159" s="21">
        <v>52.099699999999999</v>
      </c>
    </row>
    <row r="160" spans="2:23" x14ac:dyDescent="0.3">
      <c r="B160" s="21">
        <v>5980</v>
      </c>
      <c r="C160" s="21">
        <v>0.5</v>
      </c>
      <c r="D160" s="21">
        <v>0.15</v>
      </c>
      <c r="E160" s="21">
        <v>1447.3796</v>
      </c>
      <c r="F160" s="21">
        <v>703</v>
      </c>
      <c r="G160" s="21">
        <v>51.466500000000003</v>
      </c>
      <c r="J160" s="21">
        <v>5980</v>
      </c>
      <c r="K160" s="21">
        <v>0.5</v>
      </c>
      <c r="L160" s="21">
        <v>0.15</v>
      </c>
      <c r="M160" s="21">
        <v>1464.7260000000001</v>
      </c>
      <c r="N160" s="21">
        <v>703</v>
      </c>
      <c r="O160" s="21">
        <v>52.535699999999999</v>
      </c>
      <c r="R160" s="21">
        <v>5980</v>
      </c>
      <c r="S160" s="21">
        <v>0.5</v>
      </c>
      <c r="T160" s="21">
        <v>0.15</v>
      </c>
      <c r="U160" s="21">
        <v>1466.7943</v>
      </c>
      <c r="V160" s="21">
        <v>703</v>
      </c>
      <c r="W160" s="21">
        <v>52.665399999999998</v>
      </c>
    </row>
    <row r="161" spans="2:23" x14ac:dyDescent="0.3">
      <c r="B161" s="21">
        <v>6180</v>
      </c>
      <c r="C161" s="21">
        <v>0.5</v>
      </c>
      <c r="D161" s="21">
        <v>0.15</v>
      </c>
      <c r="E161" s="21">
        <v>1455.3154999999999</v>
      </c>
      <c r="F161" s="21">
        <v>703</v>
      </c>
      <c r="G161" s="21">
        <v>51.951300000000003</v>
      </c>
      <c r="J161" s="21">
        <v>6180</v>
      </c>
      <c r="K161" s="21">
        <v>0.5</v>
      </c>
      <c r="L161" s="21">
        <v>0.15</v>
      </c>
      <c r="M161" s="21">
        <v>1472.4317000000001</v>
      </c>
      <c r="N161" s="21">
        <v>703</v>
      </c>
      <c r="O161" s="21">
        <v>53.021599999999999</v>
      </c>
      <c r="R161" s="21">
        <v>6180</v>
      </c>
      <c r="S161" s="21">
        <v>0.5</v>
      </c>
      <c r="T161" s="21">
        <v>0.15</v>
      </c>
      <c r="U161" s="21">
        <v>1474.4766999999999</v>
      </c>
      <c r="V161" s="21">
        <v>703</v>
      </c>
      <c r="W161" s="21">
        <v>53.151699999999998</v>
      </c>
    </row>
    <row r="162" spans="2:23" x14ac:dyDescent="0.3">
      <c r="B162" s="21">
        <v>6380</v>
      </c>
      <c r="C162" s="21">
        <v>0.5</v>
      </c>
      <c r="D162" s="21">
        <v>0.15</v>
      </c>
      <c r="E162" s="21">
        <v>1462.0553</v>
      </c>
      <c r="F162" s="21">
        <v>703</v>
      </c>
      <c r="G162" s="21">
        <v>52.3688</v>
      </c>
      <c r="J162" s="21">
        <v>6380</v>
      </c>
      <c r="K162" s="21">
        <v>0.5</v>
      </c>
      <c r="L162" s="21">
        <v>0.15</v>
      </c>
      <c r="M162" s="21">
        <v>1478.9494</v>
      </c>
      <c r="N162" s="21">
        <v>703</v>
      </c>
      <c r="O162" s="21">
        <v>53.437800000000003</v>
      </c>
      <c r="R162" s="21">
        <v>6380</v>
      </c>
      <c r="S162" s="21">
        <v>0.5</v>
      </c>
      <c r="T162" s="21">
        <v>0.15</v>
      </c>
      <c r="U162" s="21">
        <v>1480.9827</v>
      </c>
      <c r="V162" s="21">
        <v>703</v>
      </c>
      <c r="W162" s="21">
        <v>53.568600000000004</v>
      </c>
    </row>
    <row r="163" spans="2:23" x14ac:dyDescent="0.3">
      <c r="B163" s="21">
        <v>6580</v>
      </c>
      <c r="C163" s="21">
        <v>0.5</v>
      </c>
      <c r="D163" s="21">
        <v>0.15</v>
      </c>
      <c r="E163" s="21">
        <v>1467.7704000000001</v>
      </c>
      <c r="F163" s="21">
        <v>703</v>
      </c>
      <c r="G163" s="21">
        <v>52.726799999999997</v>
      </c>
      <c r="J163" s="21">
        <v>6580</v>
      </c>
      <c r="K163" s="21">
        <v>0.5</v>
      </c>
      <c r="L163" s="21">
        <v>0.15</v>
      </c>
      <c r="M163" s="21">
        <v>1484.4731999999999</v>
      </c>
      <c r="N163" s="21">
        <v>703</v>
      </c>
      <c r="O163" s="21">
        <v>53.7941</v>
      </c>
      <c r="R163" s="21">
        <v>6580</v>
      </c>
      <c r="S163" s="21">
        <v>0.5</v>
      </c>
      <c r="T163" s="21">
        <v>0.15</v>
      </c>
      <c r="U163" s="21">
        <v>1486.4896000000001</v>
      </c>
      <c r="V163" s="21">
        <v>703</v>
      </c>
      <c r="W163" s="21">
        <v>53.924999999999997</v>
      </c>
    </row>
    <row r="164" spans="2:23" x14ac:dyDescent="0.3">
      <c r="B164" s="21">
        <v>6780</v>
      </c>
      <c r="C164" s="21">
        <v>0.5</v>
      </c>
      <c r="D164" s="21">
        <v>0.15</v>
      </c>
      <c r="E164" s="21">
        <v>1472.6338000000001</v>
      </c>
      <c r="F164" s="21">
        <v>703</v>
      </c>
      <c r="G164" s="21">
        <v>53.034399999999998</v>
      </c>
      <c r="J164" s="21">
        <v>6780</v>
      </c>
      <c r="K164" s="21">
        <v>0.5</v>
      </c>
      <c r="L164" s="21">
        <v>0.15</v>
      </c>
      <c r="M164" s="21">
        <v>1489.154</v>
      </c>
      <c r="N164" s="21">
        <v>703</v>
      </c>
      <c r="O164" s="21">
        <v>54.098700000000001</v>
      </c>
      <c r="R164" s="21">
        <v>6780</v>
      </c>
      <c r="S164" s="21">
        <v>0.5</v>
      </c>
      <c r="T164" s="21">
        <v>0.15</v>
      </c>
      <c r="U164" s="21">
        <v>1491.1479999999999</v>
      </c>
      <c r="V164" s="21">
        <v>703</v>
      </c>
      <c r="W164" s="21">
        <v>54.229100000000003</v>
      </c>
    </row>
    <row r="165" spans="2:23" x14ac:dyDescent="0.3">
      <c r="B165" s="21">
        <v>6980</v>
      </c>
      <c r="C165" s="21">
        <v>0.5</v>
      </c>
      <c r="D165" s="21">
        <v>0.15</v>
      </c>
      <c r="E165" s="21">
        <v>1476.758</v>
      </c>
      <c r="F165" s="21">
        <v>703</v>
      </c>
      <c r="G165" s="21">
        <v>53.2973</v>
      </c>
      <c r="J165" s="21">
        <v>6980</v>
      </c>
      <c r="K165" s="21">
        <v>0.5</v>
      </c>
      <c r="L165" s="21">
        <v>0.15</v>
      </c>
      <c r="M165" s="21">
        <v>1493.1036999999999</v>
      </c>
      <c r="N165" s="21">
        <v>703</v>
      </c>
      <c r="O165" s="21">
        <v>54.357500000000002</v>
      </c>
      <c r="R165" s="21">
        <v>6980</v>
      </c>
      <c r="S165" s="21">
        <v>0.5</v>
      </c>
      <c r="T165" s="21">
        <v>0.15</v>
      </c>
      <c r="U165" s="21">
        <v>1495.0845999999999</v>
      </c>
      <c r="V165" s="21">
        <v>703</v>
      </c>
      <c r="W165" s="21">
        <v>54.487900000000003</v>
      </c>
    </row>
    <row r="166" spans="2:23" x14ac:dyDescent="0.3">
      <c r="B166" s="21">
        <v>7180</v>
      </c>
      <c r="C166" s="21">
        <v>0.5</v>
      </c>
      <c r="D166" s="21">
        <v>0.15</v>
      </c>
      <c r="E166" s="21">
        <v>1480.2416000000001</v>
      </c>
      <c r="F166" s="21">
        <v>703</v>
      </c>
      <c r="G166" s="21">
        <v>53.520800000000001</v>
      </c>
      <c r="J166" s="21">
        <v>7180</v>
      </c>
      <c r="K166" s="21">
        <v>0.5</v>
      </c>
      <c r="L166" s="21">
        <v>0.15</v>
      </c>
      <c r="M166" s="21">
        <v>1496.4463000000001</v>
      </c>
      <c r="N166" s="21">
        <v>703</v>
      </c>
      <c r="O166" s="21">
        <v>54.577800000000003</v>
      </c>
      <c r="R166" s="21">
        <v>7180</v>
      </c>
      <c r="S166" s="21">
        <v>0.5</v>
      </c>
      <c r="T166" s="21">
        <v>0.15</v>
      </c>
      <c r="U166" s="21">
        <v>1498.4090000000001</v>
      </c>
      <c r="V166" s="21">
        <v>703</v>
      </c>
      <c r="W166" s="21">
        <v>54.707799999999999</v>
      </c>
    </row>
    <row r="167" spans="2:23" x14ac:dyDescent="0.3">
      <c r="B167" s="21">
        <v>7380</v>
      </c>
      <c r="C167" s="21">
        <v>0.5</v>
      </c>
      <c r="D167" s="21">
        <v>0.15</v>
      </c>
      <c r="E167" s="21">
        <v>1483.1929</v>
      </c>
      <c r="F167" s="21">
        <v>703</v>
      </c>
      <c r="G167" s="21">
        <v>53.711199999999998</v>
      </c>
      <c r="J167" s="21">
        <v>7380</v>
      </c>
      <c r="K167" s="21">
        <v>0.5</v>
      </c>
      <c r="L167" s="21">
        <v>0.15</v>
      </c>
      <c r="M167" s="21">
        <v>1499.26</v>
      </c>
      <c r="N167" s="21">
        <v>703</v>
      </c>
      <c r="O167" s="21">
        <v>54.764200000000002</v>
      </c>
      <c r="R167" s="21">
        <v>7380</v>
      </c>
      <c r="S167" s="21">
        <v>0.5</v>
      </c>
      <c r="T167" s="21">
        <v>0.15</v>
      </c>
      <c r="U167" s="21">
        <v>1501.2136</v>
      </c>
      <c r="V167" s="21">
        <v>703</v>
      </c>
      <c r="W167" s="21">
        <v>54.894100000000002</v>
      </c>
    </row>
    <row r="168" spans="2:23" x14ac:dyDescent="0.3">
      <c r="B168" s="21">
        <v>7580</v>
      </c>
      <c r="C168" s="21">
        <v>0.5</v>
      </c>
      <c r="D168" s="21">
        <v>0.15</v>
      </c>
      <c r="E168" s="21">
        <v>1485.7041999999999</v>
      </c>
      <c r="F168" s="21">
        <v>703</v>
      </c>
      <c r="G168" s="21">
        <v>53.874000000000002</v>
      </c>
      <c r="J168" s="21">
        <v>7580</v>
      </c>
      <c r="K168" s="21">
        <v>0.5</v>
      </c>
      <c r="L168" s="21">
        <v>0.15</v>
      </c>
      <c r="M168" s="21">
        <v>1501.64</v>
      </c>
      <c r="N168" s="21">
        <v>703</v>
      </c>
      <c r="O168" s="21">
        <v>54.922499999999999</v>
      </c>
      <c r="R168" s="21">
        <v>7580</v>
      </c>
      <c r="S168" s="21">
        <v>0.5</v>
      </c>
      <c r="T168" s="21">
        <v>0.15</v>
      </c>
      <c r="U168" s="21">
        <v>1503.5784000000001</v>
      </c>
      <c r="V168" s="21">
        <v>703</v>
      </c>
      <c r="W168" s="21">
        <v>55.051900000000003</v>
      </c>
    </row>
    <row r="169" spans="2:23" x14ac:dyDescent="0.3">
      <c r="B169" s="21">
        <v>7780</v>
      </c>
      <c r="C169" s="21">
        <v>0.5</v>
      </c>
      <c r="D169" s="21">
        <v>0.15</v>
      </c>
      <c r="E169" s="21">
        <v>1487.8285000000001</v>
      </c>
      <c r="F169" s="21">
        <v>703</v>
      </c>
      <c r="G169" s="21">
        <v>54.0122</v>
      </c>
      <c r="J169" s="21">
        <v>7780</v>
      </c>
      <c r="K169" s="21">
        <v>0.5</v>
      </c>
      <c r="L169" s="21">
        <v>0.15</v>
      </c>
      <c r="M169" s="21">
        <v>1503.6375</v>
      </c>
      <c r="N169" s="21">
        <v>703</v>
      </c>
      <c r="O169" s="21">
        <v>55.055799999999998</v>
      </c>
      <c r="R169" s="21">
        <v>7780</v>
      </c>
      <c r="S169" s="21">
        <v>0.5</v>
      </c>
      <c r="T169" s="21">
        <v>0.15</v>
      </c>
      <c r="U169" s="21">
        <v>1505.5705</v>
      </c>
      <c r="V169" s="21">
        <v>703</v>
      </c>
      <c r="W169" s="21">
        <v>55.185200000000002</v>
      </c>
    </row>
    <row r="170" spans="2:23" x14ac:dyDescent="0.3">
      <c r="B170" s="21">
        <v>7980</v>
      </c>
      <c r="C170" s="21">
        <v>0.5</v>
      </c>
      <c r="D170" s="21">
        <v>0.15</v>
      </c>
      <c r="E170" s="21">
        <v>1489.6051</v>
      </c>
      <c r="F170" s="21">
        <v>703</v>
      </c>
      <c r="G170" s="21">
        <v>54.1282</v>
      </c>
      <c r="J170" s="21">
        <v>7980</v>
      </c>
      <c r="K170" s="21">
        <v>0.5</v>
      </c>
      <c r="L170" s="21">
        <v>0.15</v>
      </c>
      <c r="M170" s="21">
        <v>1505.3244</v>
      </c>
      <c r="N170" s="21">
        <v>703</v>
      </c>
      <c r="O170" s="21">
        <v>55.168700000000001</v>
      </c>
      <c r="R170" s="21">
        <v>7980</v>
      </c>
      <c r="S170" s="21">
        <v>0.5</v>
      </c>
      <c r="T170" s="21">
        <v>0.15</v>
      </c>
      <c r="U170" s="21">
        <v>1507.2483</v>
      </c>
      <c r="V170" s="21">
        <v>703</v>
      </c>
      <c r="W170" s="21">
        <v>55.297899999999998</v>
      </c>
    </row>
    <row r="171" spans="2:23" x14ac:dyDescent="0.3">
      <c r="B171" s="21">
        <v>8180</v>
      </c>
      <c r="C171" s="21">
        <v>0.5</v>
      </c>
      <c r="D171" s="21">
        <v>0.15</v>
      </c>
      <c r="E171" s="21">
        <v>1491.1292000000001</v>
      </c>
      <c r="F171" s="21">
        <v>703</v>
      </c>
      <c r="G171" s="21">
        <v>54.227899999999998</v>
      </c>
      <c r="J171" s="21">
        <v>8180</v>
      </c>
      <c r="K171" s="21">
        <v>0.5</v>
      </c>
      <c r="L171" s="21">
        <v>0.15</v>
      </c>
      <c r="M171" s="21">
        <v>1506.7492999999999</v>
      </c>
      <c r="N171" s="21">
        <v>703</v>
      </c>
      <c r="O171" s="21">
        <v>55.264299999999999</v>
      </c>
      <c r="R171" s="21">
        <v>8180</v>
      </c>
      <c r="S171" s="21">
        <v>0.5</v>
      </c>
      <c r="T171" s="21">
        <v>0.15</v>
      </c>
      <c r="U171" s="21">
        <v>1508.6602</v>
      </c>
      <c r="V171" s="21">
        <v>703</v>
      </c>
      <c r="W171" s="21">
        <v>55.392899999999997</v>
      </c>
    </row>
    <row r="172" spans="2:23" x14ac:dyDescent="0.3">
      <c r="B172" s="21">
        <v>8380</v>
      </c>
      <c r="C172" s="21">
        <v>0.5</v>
      </c>
      <c r="D172" s="21">
        <v>0.15</v>
      </c>
      <c r="E172" s="21">
        <v>1492.3947000000001</v>
      </c>
      <c r="F172" s="21">
        <v>703</v>
      </c>
      <c r="G172" s="21">
        <v>54.310899999999997</v>
      </c>
      <c r="J172" s="21">
        <v>8380</v>
      </c>
      <c r="K172" s="21">
        <v>0.5</v>
      </c>
      <c r="L172" s="21">
        <v>0.15</v>
      </c>
      <c r="M172" s="21">
        <v>1507.9507000000001</v>
      </c>
      <c r="N172" s="21">
        <v>703</v>
      </c>
      <c r="O172" s="21">
        <v>55.345100000000002</v>
      </c>
      <c r="R172" s="21">
        <v>8380</v>
      </c>
      <c r="S172" s="21">
        <v>0.5</v>
      </c>
      <c r="T172" s="21">
        <v>0.15</v>
      </c>
      <c r="U172" s="21">
        <v>1509.8484000000001</v>
      </c>
      <c r="V172" s="21">
        <v>703</v>
      </c>
      <c r="W172" s="21">
        <v>55.472999999999999</v>
      </c>
    </row>
    <row r="173" spans="2:23" x14ac:dyDescent="0.3">
      <c r="B173" s="21">
        <v>8400</v>
      </c>
      <c r="C173" s="21">
        <v>0.5</v>
      </c>
      <c r="D173" s="21">
        <v>0.15</v>
      </c>
      <c r="E173" s="21">
        <v>1492.5282999999999</v>
      </c>
      <c r="F173" s="21">
        <v>703</v>
      </c>
      <c r="G173" s="21">
        <v>54.319699999999997</v>
      </c>
      <c r="J173" s="21">
        <v>8400</v>
      </c>
      <c r="K173" s="21">
        <v>0.5</v>
      </c>
      <c r="L173" s="21">
        <v>0.15</v>
      </c>
      <c r="M173" s="21">
        <v>1508.0761</v>
      </c>
      <c r="N173" s="21">
        <v>703</v>
      </c>
      <c r="O173" s="21">
        <v>55.353499999999997</v>
      </c>
      <c r="R173" s="21">
        <v>8400</v>
      </c>
      <c r="S173" s="21">
        <v>0.5</v>
      </c>
      <c r="T173" s="21">
        <v>0.15</v>
      </c>
      <c r="U173" s="21">
        <v>1509.9671000000001</v>
      </c>
      <c r="V173" s="21">
        <v>703</v>
      </c>
      <c r="W173" s="21">
        <v>55.481000000000002</v>
      </c>
    </row>
    <row r="174" spans="2:23" x14ac:dyDescent="0.3">
      <c r="B174" s="21">
        <v>8600</v>
      </c>
      <c r="C174" s="21">
        <v>0.5</v>
      </c>
      <c r="D174" s="21">
        <v>0.15</v>
      </c>
      <c r="E174" s="21">
        <v>1485.8052</v>
      </c>
      <c r="F174" s="21">
        <v>703</v>
      </c>
      <c r="G174" s="21">
        <v>53.880499999999998</v>
      </c>
      <c r="J174" s="21">
        <v>8600</v>
      </c>
      <c r="K174" s="21">
        <v>0.5</v>
      </c>
      <c r="L174" s="21">
        <v>0.15</v>
      </c>
      <c r="M174" s="21">
        <v>1497.6006</v>
      </c>
      <c r="N174" s="21">
        <v>703</v>
      </c>
      <c r="O174" s="21">
        <v>54.654200000000003</v>
      </c>
      <c r="R174" s="21">
        <v>8600</v>
      </c>
      <c r="S174" s="21">
        <v>0.5</v>
      </c>
      <c r="T174" s="21">
        <v>0.15</v>
      </c>
      <c r="U174" s="21">
        <v>1498.9996000000001</v>
      </c>
      <c r="V174" s="21">
        <v>703</v>
      </c>
      <c r="W174" s="21">
        <v>54.746899999999997</v>
      </c>
    </row>
    <row r="175" spans="2:23" x14ac:dyDescent="0.3">
      <c r="B175" s="21">
        <v>8800</v>
      </c>
      <c r="C175" s="21">
        <v>0.5</v>
      </c>
      <c r="D175" s="21">
        <v>0.15</v>
      </c>
      <c r="E175" s="21">
        <v>1478.5262</v>
      </c>
      <c r="F175" s="21">
        <v>703</v>
      </c>
      <c r="G175" s="21">
        <v>53.410600000000002</v>
      </c>
      <c r="J175" s="21">
        <v>8800</v>
      </c>
      <c r="K175" s="21">
        <v>0.5</v>
      </c>
      <c r="L175" s="21">
        <v>0.15</v>
      </c>
      <c r="M175" s="21">
        <v>1487.0714</v>
      </c>
      <c r="N175" s="21">
        <v>703</v>
      </c>
      <c r="O175" s="21">
        <v>53.962899999999998</v>
      </c>
      <c r="R175" s="21">
        <v>8800</v>
      </c>
      <c r="S175" s="21">
        <v>0.5</v>
      </c>
      <c r="T175" s="21">
        <v>0.15</v>
      </c>
      <c r="U175" s="21">
        <v>1488.0454</v>
      </c>
      <c r="V175" s="21">
        <v>703</v>
      </c>
      <c r="W175" s="21">
        <v>54.026299999999999</v>
      </c>
    </row>
    <row r="176" spans="2:23" x14ac:dyDescent="0.3">
      <c r="B176" s="21">
        <v>9000</v>
      </c>
      <c r="C176" s="21">
        <v>0.5</v>
      </c>
      <c r="D176" s="21">
        <v>0.15</v>
      </c>
      <c r="E176" s="21">
        <v>1472.3432</v>
      </c>
      <c r="F176" s="21">
        <v>703</v>
      </c>
      <c r="G176" s="21">
        <v>53.015999999999998</v>
      </c>
      <c r="J176" s="21">
        <v>9000</v>
      </c>
      <c r="K176" s="21">
        <v>0.5</v>
      </c>
      <c r="L176" s="21">
        <v>0.15</v>
      </c>
      <c r="M176" s="21">
        <v>1478.0718999999999</v>
      </c>
      <c r="N176" s="21">
        <v>703</v>
      </c>
      <c r="O176" s="21">
        <v>53.381500000000003</v>
      </c>
      <c r="R176" s="21">
        <v>9000</v>
      </c>
      <c r="S176" s="21">
        <v>0.5</v>
      </c>
      <c r="T176" s="21">
        <v>0.15</v>
      </c>
      <c r="U176" s="21">
        <v>1478.6751999999999</v>
      </c>
      <c r="V176" s="21">
        <v>703</v>
      </c>
      <c r="W176" s="21">
        <v>53.420200000000001</v>
      </c>
    </row>
    <row r="177" spans="2:23" x14ac:dyDescent="0.3">
      <c r="B177" s="21">
        <v>9200</v>
      </c>
      <c r="C177" s="21">
        <v>0.5</v>
      </c>
      <c r="D177" s="21">
        <v>0.15</v>
      </c>
      <c r="E177" s="21">
        <v>1467.1304</v>
      </c>
      <c r="F177" s="21">
        <v>703</v>
      </c>
      <c r="G177" s="21">
        <v>52.686599999999999</v>
      </c>
      <c r="J177" s="21">
        <v>9200</v>
      </c>
      <c r="K177" s="21">
        <v>0.5</v>
      </c>
      <c r="L177" s="21">
        <v>0.15</v>
      </c>
      <c r="M177" s="21">
        <v>1470.4212</v>
      </c>
      <c r="N177" s="21">
        <v>703</v>
      </c>
      <c r="O177" s="21">
        <v>52.894199999999998</v>
      </c>
      <c r="R177" s="21">
        <v>9200</v>
      </c>
      <c r="S177" s="21">
        <v>0.5</v>
      </c>
      <c r="T177" s="21">
        <v>0.15</v>
      </c>
      <c r="U177" s="21">
        <v>1470.7018</v>
      </c>
      <c r="V177" s="21">
        <v>703</v>
      </c>
      <c r="W177" s="21">
        <v>52.911900000000003</v>
      </c>
    </row>
    <row r="178" spans="2:23" x14ac:dyDescent="0.3">
      <c r="B178" s="21">
        <v>9400</v>
      </c>
      <c r="C178" s="21">
        <v>0.5</v>
      </c>
      <c r="D178" s="21">
        <v>0.15</v>
      </c>
      <c r="E178" s="21">
        <v>1462.7188000000001</v>
      </c>
      <c r="F178" s="21">
        <v>703</v>
      </c>
      <c r="G178" s="21">
        <v>52.410200000000003</v>
      </c>
      <c r="J178" s="21">
        <v>9400</v>
      </c>
      <c r="K178" s="21">
        <v>0.5</v>
      </c>
      <c r="L178" s="21">
        <v>0.15</v>
      </c>
      <c r="M178" s="21">
        <v>1463.8635999999999</v>
      </c>
      <c r="N178" s="21">
        <v>703</v>
      </c>
      <c r="O178" s="21">
        <v>52.481699999999996</v>
      </c>
      <c r="R178" s="21">
        <v>9400</v>
      </c>
      <c r="S178" s="21">
        <v>0.5</v>
      </c>
      <c r="T178" s="21">
        <v>0.15</v>
      </c>
      <c r="U178" s="21">
        <v>1463.8652</v>
      </c>
      <c r="V178" s="21">
        <v>703</v>
      </c>
      <c r="W178" s="21">
        <v>52.4818</v>
      </c>
    </row>
    <row r="179" spans="2:23" x14ac:dyDescent="0.3">
      <c r="B179" s="21">
        <v>9600</v>
      </c>
      <c r="C179" s="21">
        <v>0.5</v>
      </c>
      <c r="D179" s="21">
        <v>0.15</v>
      </c>
      <c r="E179" s="21">
        <v>1458.9462000000001</v>
      </c>
      <c r="F179" s="21">
        <v>703</v>
      </c>
      <c r="G179" s="21">
        <v>52.175600000000003</v>
      </c>
      <c r="J179" s="21">
        <v>9600</v>
      </c>
      <c r="K179" s="21">
        <v>0.5</v>
      </c>
      <c r="L179" s="21">
        <v>0.15</v>
      </c>
      <c r="M179" s="21">
        <v>1458.2182</v>
      </c>
      <c r="N179" s="21">
        <v>703</v>
      </c>
      <c r="O179" s="21">
        <v>52.130499999999998</v>
      </c>
      <c r="R179" s="21">
        <v>9600</v>
      </c>
      <c r="S179" s="21">
        <v>0.5</v>
      </c>
      <c r="T179" s="21">
        <v>0.15</v>
      </c>
      <c r="U179" s="21">
        <v>1457.9765</v>
      </c>
      <c r="V179" s="21">
        <v>703</v>
      </c>
      <c r="W179" s="21">
        <v>52.115499999999997</v>
      </c>
    </row>
    <row r="180" spans="2:23" x14ac:dyDescent="0.3">
      <c r="B180" s="21">
        <v>9800</v>
      </c>
      <c r="C180" s="21">
        <v>0.5</v>
      </c>
      <c r="D180" s="21">
        <v>0.15</v>
      </c>
      <c r="E180" s="21">
        <v>1455.7313999999999</v>
      </c>
      <c r="F180" s="21">
        <v>703</v>
      </c>
      <c r="G180" s="21">
        <v>51.976900000000001</v>
      </c>
      <c r="J180" s="21">
        <v>9800</v>
      </c>
      <c r="K180" s="21">
        <v>0.5</v>
      </c>
      <c r="L180" s="21">
        <v>0.15</v>
      </c>
      <c r="M180" s="21">
        <v>1453.3468</v>
      </c>
      <c r="N180" s="21">
        <v>703</v>
      </c>
      <c r="O180" s="21">
        <v>51.830399999999997</v>
      </c>
      <c r="R180" s="21">
        <v>9800</v>
      </c>
      <c r="S180" s="21">
        <v>0.5</v>
      </c>
      <c r="T180" s="21">
        <v>0.15</v>
      </c>
      <c r="U180" s="21">
        <v>1452.89</v>
      </c>
      <c r="V180" s="21">
        <v>703</v>
      </c>
      <c r="W180" s="21">
        <v>51.802399999999999</v>
      </c>
    </row>
    <row r="181" spans="2:23" x14ac:dyDescent="0.3">
      <c r="B181" s="21">
        <v>10000</v>
      </c>
      <c r="C181" s="21">
        <v>0.5</v>
      </c>
      <c r="D181" s="21">
        <v>0.15</v>
      </c>
      <c r="E181" s="21">
        <v>1452.9654</v>
      </c>
      <c r="F181" s="21">
        <v>703</v>
      </c>
      <c r="G181" s="21">
        <v>51.807000000000002</v>
      </c>
      <c r="J181" s="21">
        <v>10000</v>
      </c>
      <c r="K181" s="21">
        <v>0.5</v>
      </c>
      <c r="L181" s="21">
        <v>0.15</v>
      </c>
      <c r="M181" s="21">
        <v>1449.1384</v>
      </c>
      <c r="N181" s="21">
        <v>703</v>
      </c>
      <c r="O181" s="21">
        <v>51.573300000000003</v>
      </c>
      <c r="R181" s="21">
        <v>10000</v>
      </c>
      <c r="S181" s="21">
        <v>0.5</v>
      </c>
      <c r="T181" s="21">
        <v>0.15</v>
      </c>
      <c r="U181" s="21">
        <v>1448.4943000000001</v>
      </c>
      <c r="V181" s="21">
        <v>703</v>
      </c>
      <c r="W181" s="21">
        <v>51.534199999999998</v>
      </c>
    </row>
    <row r="182" spans="2:23" x14ac:dyDescent="0.3">
      <c r="B182" s="21">
        <v>10200</v>
      </c>
      <c r="C182" s="21">
        <v>0.5</v>
      </c>
      <c r="D182" s="21">
        <v>0.15</v>
      </c>
      <c r="E182" s="21">
        <v>1450.6008999999999</v>
      </c>
      <c r="F182" s="21">
        <v>703</v>
      </c>
      <c r="G182" s="21">
        <v>51.662399999999998</v>
      </c>
      <c r="J182" s="21">
        <v>10200</v>
      </c>
      <c r="K182" s="21">
        <v>0.5</v>
      </c>
      <c r="L182" s="21">
        <v>0.15</v>
      </c>
      <c r="M182" s="21">
        <v>1445.5011999999999</v>
      </c>
      <c r="N182" s="21">
        <v>703</v>
      </c>
      <c r="O182" s="21">
        <v>51.352800000000002</v>
      </c>
      <c r="R182" s="21">
        <v>10200</v>
      </c>
      <c r="S182" s="21">
        <v>0.5</v>
      </c>
      <c r="T182" s="21">
        <v>0.15</v>
      </c>
      <c r="U182" s="21">
        <v>1444.6872000000001</v>
      </c>
      <c r="V182" s="21">
        <v>703</v>
      </c>
      <c r="W182" s="21">
        <v>51.303699999999999</v>
      </c>
    </row>
    <row r="183" spans="2:23" x14ac:dyDescent="0.3">
      <c r="B183" s="21">
        <v>10400</v>
      </c>
      <c r="C183" s="21">
        <v>0.5</v>
      </c>
      <c r="D183" s="21">
        <v>0.15</v>
      </c>
      <c r="E183" s="21">
        <v>1448.5749000000001</v>
      </c>
      <c r="F183" s="21">
        <v>703</v>
      </c>
      <c r="G183" s="21">
        <v>51.539099999999998</v>
      </c>
      <c r="J183" s="21">
        <v>10400</v>
      </c>
      <c r="K183" s="21">
        <v>0.5</v>
      </c>
      <c r="L183" s="21">
        <v>0.15</v>
      </c>
      <c r="M183" s="21">
        <v>1442.3456000000001</v>
      </c>
      <c r="N183" s="21">
        <v>703</v>
      </c>
      <c r="O183" s="21">
        <v>51.162799999999997</v>
      </c>
      <c r="R183" s="21">
        <v>10400</v>
      </c>
      <c r="S183" s="21">
        <v>0.5</v>
      </c>
      <c r="T183" s="21">
        <v>0.15</v>
      </c>
      <c r="U183" s="21">
        <v>1441.3869999999999</v>
      </c>
      <c r="V183" s="21">
        <v>703</v>
      </c>
      <c r="W183" s="21">
        <v>51.1053</v>
      </c>
    </row>
    <row r="184" spans="2:23" x14ac:dyDescent="0.3">
      <c r="B184" s="21">
        <v>10600</v>
      </c>
      <c r="C184" s="21">
        <v>0.5</v>
      </c>
      <c r="D184" s="21">
        <v>0.15</v>
      </c>
      <c r="E184" s="21">
        <v>1446.8320000000001</v>
      </c>
      <c r="F184" s="21">
        <v>703</v>
      </c>
      <c r="G184" s="21">
        <v>51.433300000000003</v>
      </c>
      <c r="J184" s="21">
        <v>10600</v>
      </c>
      <c r="K184" s="21">
        <v>0.5</v>
      </c>
      <c r="L184" s="21">
        <v>0.15</v>
      </c>
      <c r="M184" s="21">
        <v>1439.6063999999999</v>
      </c>
      <c r="N184" s="21">
        <v>703</v>
      </c>
      <c r="O184" s="21">
        <v>50.998699999999999</v>
      </c>
      <c r="R184" s="21">
        <v>10600</v>
      </c>
      <c r="S184" s="21">
        <v>0.5</v>
      </c>
      <c r="T184" s="21">
        <v>0.15</v>
      </c>
      <c r="U184" s="21">
        <v>1438.5255</v>
      </c>
      <c r="V184" s="21">
        <v>703</v>
      </c>
      <c r="W184" s="21">
        <v>50.9343</v>
      </c>
    </row>
    <row r="185" spans="2:23" x14ac:dyDescent="0.3">
      <c r="B185" s="21">
        <v>10800</v>
      </c>
      <c r="C185" s="21">
        <v>0.5</v>
      </c>
      <c r="D185" s="21">
        <v>0.15</v>
      </c>
      <c r="E185" s="21">
        <v>1445.3484000000001</v>
      </c>
      <c r="F185" s="21">
        <v>703</v>
      </c>
      <c r="G185" s="21">
        <v>51.343600000000002</v>
      </c>
      <c r="J185" s="21">
        <v>10800</v>
      </c>
      <c r="K185" s="21">
        <v>0.5</v>
      </c>
      <c r="L185" s="21">
        <v>0.15</v>
      </c>
      <c r="M185" s="21">
        <v>1437.2421999999999</v>
      </c>
      <c r="N185" s="21">
        <v>703</v>
      </c>
      <c r="O185" s="21">
        <v>50.857900000000001</v>
      </c>
      <c r="R185" s="21">
        <v>10800</v>
      </c>
      <c r="S185" s="21">
        <v>0.5</v>
      </c>
      <c r="T185" s="21">
        <v>0.15</v>
      </c>
      <c r="U185" s="21">
        <v>1436.0436</v>
      </c>
      <c r="V185" s="21">
        <v>703</v>
      </c>
      <c r="W185" s="21">
        <v>50.786799999999999</v>
      </c>
    </row>
    <row r="186" spans="2:23" x14ac:dyDescent="0.3">
      <c r="B186" s="21">
        <v>11000</v>
      </c>
      <c r="C186" s="21">
        <v>0.5</v>
      </c>
      <c r="D186" s="21">
        <v>0.15</v>
      </c>
      <c r="E186" s="21">
        <v>1444.0569</v>
      </c>
      <c r="F186" s="21">
        <v>703</v>
      </c>
      <c r="G186" s="21">
        <v>51.265700000000002</v>
      </c>
      <c r="J186" s="21">
        <v>11000</v>
      </c>
      <c r="K186" s="21">
        <v>0.5</v>
      </c>
      <c r="L186" s="21">
        <v>0.15</v>
      </c>
      <c r="M186" s="21">
        <v>1435.1922</v>
      </c>
      <c r="N186" s="21">
        <v>703</v>
      </c>
      <c r="O186" s="21">
        <v>50.7363</v>
      </c>
      <c r="R186" s="21">
        <v>11000</v>
      </c>
      <c r="S186" s="21">
        <v>0.5</v>
      </c>
      <c r="T186" s="21">
        <v>0.15</v>
      </c>
      <c r="U186" s="21">
        <v>1433.8915</v>
      </c>
      <c r="V186" s="21">
        <v>703</v>
      </c>
      <c r="W186" s="21">
        <v>50.659399999999998</v>
      </c>
    </row>
    <row r="187" spans="2:23" x14ac:dyDescent="0.3">
      <c r="B187" s="21">
        <v>11200</v>
      </c>
      <c r="C187" s="21">
        <v>0.5</v>
      </c>
      <c r="D187" s="21">
        <v>0.15</v>
      </c>
      <c r="E187" s="21">
        <v>1442.9659999999999</v>
      </c>
      <c r="F187" s="21">
        <v>703</v>
      </c>
      <c r="G187" s="21">
        <v>51.2</v>
      </c>
      <c r="J187" s="21">
        <v>11200</v>
      </c>
      <c r="K187" s="21">
        <v>0.5</v>
      </c>
      <c r="L187" s="21">
        <v>0.15</v>
      </c>
      <c r="M187" s="21">
        <v>1433.4149</v>
      </c>
      <c r="N187" s="21">
        <v>703</v>
      </c>
      <c r="O187" s="21">
        <v>50.631300000000003</v>
      </c>
      <c r="R187" s="21">
        <v>11200</v>
      </c>
      <c r="S187" s="21">
        <v>0.5</v>
      </c>
      <c r="T187" s="21">
        <v>0.15</v>
      </c>
      <c r="U187" s="21">
        <v>1432.0251000000001</v>
      </c>
      <c r="V187" s="21">
        <v>703</v>
      </c>
      <c r="W187" s="21">
        <v>50.549500000000002</v>
      </c>
    </row>
    <row r="188" spans="2:23" x14ac:dyDescent="0.3">
      <c r="B188" s="21">
        <v>11400</v>
      </c>
      <c r="C188" s="21">
        <v>0.5</v>
      </c>
      <c r="D188" s="21">
        <v>0.15</v>
      </c>
      <c r="E188" s="21">
        <v>1442.0151000000001</v>
      </c>
      <c r="F188" s="21">
        <v>703</v>
      </c>
      <c r="G188" s="21">
        <v>51.142899999999997</v>
      </c>
      <c r="J188" s="21">
        <v>11400</v>
      </c>
      <c r="K188" s="21">
        <v>0.5</v>
      </c>
      <c r="L188" s="21">
        <v>0.15</v>
      </c>
      <c r="M188" s="21">
        <v>1431.8766000000001</v>
      </c>
      <c r="N188" s="21">
        <v>703</v>
      </c>
      <c r="O188" s="21">
        <v>50.540700000000001</v>
      </c>
      <c r="R188" s="21">
        <v>11400</v>
      </c>
      <c r="S188" s="21">
        <v>0.5</v>
      </c>
      <c r="T188" s="21">
        <v>0.15</v>
      </c>
      <c r="U188" s="21">
        <v>1430.4073000000001</v>
      </c>
      <c r="V188" s="21">
        <v>703</v>
      </c>
      <c r="W188" s="21">
        <v>50.454500000000003</v>
      </c>
    </row>
    <row r="189" spans="2:23" x14ac:dyDescent="0.3">
      <c r="B189" s="21">
        <v>11600</v>
      </c>
      <c r="C189" s="21">
        <v>0.5</v>
      </c>
      <c r="D189" s="21">
        <v>0.15</v>
      </c>
      <c r="E189" s="21">
        <v>1441.2190000000001</v>
      </c>
      <c r="F189" s="21">
        <v>703</v>
      </c>
      <c r="G189" s="21">
        <v>51.095199999999998</v>
      </c>
      <c r="J189" s="21">
        <v>11600</v>
      </c>
      <c r="K189" s="21">
        <v>0.5</v>
      </c>
      <c r="L189" s="21">
        <v>0.15</v>
      </c>
      <c r="M189" s="21">
        <v>1430.5461</v>
      </c>
      <c r="N189" s="21">
        <v>703</v>
      </c>
      <c r="O189" s="21">
        <v>50.462600000000002</v>
      </c>
      <c r="R189" s="21">
        <v>11600</v>
      </c>
      <c r="S189" s="21">
        <v>0.5</v>
      </c>
      <c r="T189" s="21">
        <v>0.15</v>
      </c>
      <c r="U189" s="21">
        <v>1428.9997000000001</v>
      </c>
      <c r="V189" s="21">
        <v>703</v>
      </c>
      <c r="W189" s="21">
        <v>50.372100000000003</v>
      </c>
    </row>
    <row r="190" spans="2:23" x14ac:dyDescent="0.3">
      <c r="B190" s="21">
        <v>11800</v>
      </c>
      <c r="C190" s="21">
        <v>0.5</v>
      </c>
      <c r="D190" s="21">
        <v>0.15</v>
      </c>
      <c r="E190" s="21">
        <v>1440.5213000000001</v>
      </c>
      <c r="F190" s="21">
        <v>703</v>
      </c>
      <c r="G190" s="21">
        <v>51.053400000000003</v>
      </c>
      <c r="J190" s="21">
        <v>11800</v>
      </c>
      <c r="K190" s="21">
        <v>0.5</v>
      </c>
      <c r="L190" s="21">
        <v>0.15</v>
      </c>
      <c r="M190" s="21">
        <v>1429.3842999999999</v>
      </c>
      <c r="N190" s="21">
        <v>703</v>
      </c>
      <c r="O190" s="21">
        <v>50.394599999999997</v>
      </c>
      <c r="R190" s="21">
        <v>11800</v>
      </c>
      <c r="S190" s="21">
        <v>0.5</v>
      </c>
      <c r="T190" s="21">
        <v>0.15</v>
      </c>
      <c r="U190" s="21">
        <v>1427.7801999999999</v>
      </c>
      <c r="V190" s="21">
        <v>703</v>
      </c>
      <c r="W190" s="21">
        <v>50.300899999999999</v>
      </c>
    </row>
    <row r="191" spans="2:23" x14ac:dyDescent="0.3">
      <c r="B191" s="21">
        <v>12000</v>
      </c>
      <c r="C191" s="21">
        <v>0.5</v>
      </c>
      <c r="D191" s="21">
        <v>0.15</v>
      </c>
      <c r="E191" s="21">
        <v>1439.9409000000001</v>
      </c>
      <c r="F191" s="21">
        <v>703</v>
      </c>
      <c r="G191" s="21">
        <v>51.018700000000003</v>
      </c>
      <c r="J191" s="21">
        <v>12000</v>
      </c>
      <c r="K191" s="21">
        <v>0.5</v>
      </c>
      <c r="L191" s="21">
        <v>0.15</v>
      </c>
      <c r="M191" s="21">
        <v>1428.3841</v>
      </c>
      <c r="N191" s="21">
        <v>703</v>
      </c>
      <c r="O191" s="21">
        <v>50.336100000000002</v>
      </c>
      <c r="R191" s="21">
        <v>12000</v>
      </c>
      <c r="S191" s="21">
        <v>0.5</v>
      </c>
      <c r="T191" s="21">
        <v>0.15</v>
      </c>
      <c r="U191" s="21">
        <v>1426.7248</v>
      </c>
      <c r="V191" s="21">
        <v>703</v>
      </c>
      <c r="W191" s="21">
        <v>50.239400000000003</v>
      </c>
    </row>
    <row r="192" spans="2:23" x14ac:dyDescent="0.3">
      <c r="B192" s="21">
        <v>12200</v>
      </c>
      <c r="C192" s="21">
        <v>0.5</v>
      </c>
      <c r="D192" s="21">
        <v>0.15</v>
      </c>
      <c r="E192" s="21">
        <v>1439.4241</v>
      </c>
      <c r="F192" s="21">
        <v>703</v>
      </c>
      <c r="G192" s="21">
        <v>50.987900000000003</v>
      </c>
      <c r="J192" s="21">
        <v>12200</v>
      </c>
      <c r="K192" s="21">
        <v>0.5</v>
      </c>
      <c r="L192" s="21">
        <v>0.15</v>
      </c>
      <c r="M192" s="21">
        <v>1427.5250000000001</v>
      </c>
      <c r="N192" s="21">
        <v>703</v>
      </c>
      <c r="O192" s="21">
        <v>50.286000000000001</v>
      </c>
      <c r="R192" s="21">
        <v>12200</v>
      </c>
      <c r="S192" s="21">
        <v>0.5</v>
      </c>
      <c r="T192" s="21">
        <v>0.15</v>
      </c>
      <c r="U192" s="21">
        <v>1425.8114</v>
      </c>
      <c r="V192" s="21">
        <v>703</v>
      </c>
      <c r="W192" s="21">
        <v>50.186399999999999</v>
      </c>
    </row>
    <row r="193" spans="2:23" x14ac:dyDescent="0.3">
      <c r="B193" s="21">
        <v>12400</v>
      </c>
      <c r="C193" s="21">
        <v>0.5</v>
      </c>
      <c r="D193" s="21">
        <v>0.15</v>
      </c>
      <c r="E193" s="21">
        <v>1438.9933000000001</v>
      </c>
      <c r="F193" s="21">
        <v>703</v>
      </c>
      <c r="G193" s="21">
        <v>50.962200000000003</v>
      </c>
      <c r="J193" s="21">
        <v>12400</v>
      </c>
      <c r="K193" s="21">
        <v>0.5</v>
      </c>
      <c r="L193" s="21">
        <v>0.15</v>
      </c>
      <c r="M193" s="21">
        <v>1426.7764</v>
      </c>
      <c r="N193" s="21">
        <v>703</v>
      </c>
      <c r="O193" s="21">
        <v>50.2425</v>
      </c>
      <c r="R193" s="21">
        <v>12400</v>
      </c>
      <c r="S193" s="21">
        <v>0.5</v>
      </c>
      <c r="T193" s="21">
        <v>0.15</v>
      </c>
      <c r="U193" s="21">
        <v>1425.0220999999999</v>
      </c>
      <c r="V193" s="21">
        <v>703</v>
      </c>
      <c r="W193" s="21">
        <v>50.140599999999999</v>
      </c>
    </row>
    <row r="194" spans="2:23" x14ac:dyDescent="0.3">
      <c r="B194" s="21">
        <v>12600</v>
      </c>
      <c r="C194" s="21">
        <v>0.5</v>
      </c>
      <c r="D194" s="21">
        <v>0.15</v>
      </c>
      <c r="E194" s="21">
        <v>1438.6201000000001</v>
      </c>
      <c r="F194" s="21">
        <v>703</v>
      </c>
      <c r="G194" s="21">
        <v>50.939900000000002</v>
      </c>
      <c r="J194" s="21">
        <v>12600</v>
      </c>
      <c r="K194" s="21">
        <v>0.5</v>
      </c>
      <c r="L194" s="21">
        <v>0.15</v>
      </c>
      <c r="M194" s="21">
        <v>1426.125</v>
      </c>
      <c r="N194" s="21">
        <v>703</v>
      </c>
      <c r="O194" s="21">
        <v>50.204599999999999</v>
      </c>
      <c r="R194" s="21">
        <v>12600</v>
      </c>
      <c r="S194" s="21">
        <v>0.5</v>
      </c>
      <c r="T194" s="21">
        <v>0.15</v>
      </c>
      <c r="U194" s="21">
        <v>1424.3398</v>
      </c>
      <c r="V194" s="21">
        <v>703</v>
      </c>
      <c r="W194" s="21">
        <v>50.101100000000002</v>
      </c>
    </row>
    <row r="195" spans="2:23" x14ac:dyDescent="0.3">
      <c r="B195" s="21">
        <v>12800</v>
      </c>
      <c r="C195" s="21">
        <v>0.5</v>
      </c>
      <c r="D195" s="21">
        <v>0.15</v>
      </c>
      <c r="E195" s="21">
        <v>1438.3027</v>
      </c>
      <c r="F195" s="21">
        <v>703</v>
      </c>
      <c r="G195" s="21">
        <v>50.920999999999999</v>
      </c>
      <c r="J195" s="21">
        <v>12800</v>
      </c>
      <c r="K195" s="21">
        <v>0.5</v>
      </c>
      <c r="L195" s="21">
        <v>0.15</v>
      </c>
      <c r="M195" s="21">
        <v>1425.5741</v>
      </c>
      <c r="N195" s="21">
        <v>703</v>
      </c>
      <c r="O195" s="21">
        <v>50.172600000000003</v>
      </c>
      <c r="R195" s="21">
        <v>12800</v>
      </c>
      <c r="S195" s="21">
        <v>0.5</v>
      </c>
      <c r="T195" s="21">
        <v>0.15</v>
      </c>
      <c r="U195" s="21">
        <v>1423.7511999999999</v>
      </c>
      <c r="V195" s="21">
        <v>703</v>
      </c>
      <c r="W195" s="21">
        <v>50.067</v>
      </c>
    </row>
    <row r="196" spans="2:23" x14ac:dyDescent="0.3">
      <c r="B196" s="21">
        <v>13000</v>
      </c>
      <c r="C196" s="21">
        <v>0.5</v>
      </c>
      <c r="D196" s="21">
        <v>0.15</v>
      </c>
      <c r="E196" s="21">
        <v>1438.0395000000001</v>
      </c>
      <c r="F196" s="21">
        <v>703</v>
      </c>
      <c r="G196" s="21">
        <v>50.905299999999997</v>
      </c>
      <c r="J196" s="21">
        <v>13000</v>
      </c>
      <c r="K196" s="21">
        <v>0.5</v>
      </c>
      <c r="L196" s="21">
        <v>0.15</v>
      </c>
      <c r="M196" s="21">
        <v>1425.0977</v>
      </c>
      <c r="N196" s="21">
        <v>703</v>
      </c>
      <c r="O196" s="21">
        <v>50.145000000000003</v>
      </c>
      <c r="R196" s="21">
        <v>13000</v>
      </c>
      <c r="S196" s="21">
        <v>0.5</v>
      </c>
      <c r="T196" s="21">
        <v>0.15</v>
      </c>
      <c r="U196" s="21">
        <v>1423.2433000000001</v>
      </c>
      <c r="V196" s="21">
        <v>703</v>
      </c>
      <c r="W196" s="21">
        <v>50.037700000000001</v>
      </c>
    </row>
    <row r="197" spans="2:23" x14ac:dyDescent="0.3">
      <c r="B197" s="21">
        <v>13200</v>
      </c>
      <c r="C197" s="21">
        <v>0.5</v>
      </c>
      <c r="D197" s="21">
        <v>0.15</v>
      </c>
      <c r="E197" s="21">
        <v>1437.8036</v>
      </c>
      <c r="F197" s="21">
        <v>703</v>
      </c>
      <c r="G197" s="21">
        <v>50.891300000000001</v>
      </c>
      <c r="J197" s="21">
        <v>13200</v>
      </c>
      <c r="K197" s="21">
        <v>0.5</v>
      </c>
      <c r="L197" s="21">
        <v>0.15</v>
      </c>
      <c r="M197" s="21">
        <v>1424.6875</v>
      </c>
      <c r="N197" s="21">
        <v>703</v>
      </c>
      <c r="O197" s="21">
        <v>50.121200000000002</v>
      </c>
      <c r="R197" s="21">
        <v>13200</v>
      </c>
      <c r="S197" s="21">
        <v>0.5</v>
      </c>
      <c r="T197" s="21">
        <v>0.15</v>
      </c>
      <c r="U197" s="21">
        <v>1422.7989</v>
      </c>
      <c r="V197" s="21">
        <v>703</v>
      </c>
      <c r="W197" s="21">
        <v>50.012</v>
      </c>
    </row>
    <row r="198" spans="2:23" x14ac:dyDescent="0.3">
      <c r="B198" s="21">
        <v>13400</v>
      </c>
      <c r="C198" s="21">
        <v>0.5</v>
      </c>
      <c r="D198" s="21">
        <v>0.15</v>
      </c>
      <c r="E198" s="21">
        <v>1437.6201000000001</v>
      </c>
      <c r="F198" s="21">
        <v>703</v>
      </c>
      <c r="G198" s="21">
        <v>50.880400000000002</v>
      </c>
      <c r="J198" s="21">
        <v>13400</v>
      </c>
      <c r="K198" s="21">
        <v>0.5</v>
      </c>
      <c r="L198" s="21">
        <v>0.15</v>
      </c>
      <c r="M198" s="21">
        <v>1424.3215</v>
      </c>
      <c r="N198" s="21">
        <v>703</v>
      </c>
      <c r="O198" s="21">
        <v>50.1</v>
      </c>
      <c r="R198" s="21">
        <v>13400</v>
      </c>
      <c r="S198" s="21">
        <v>0.5</v>
      </c>
      <c r="T198" s="21">
        <v>0.15</v>
      </c>
      <c r="U198" s="21">
        <v>1422.4166</v>
      </c>
      <c r="V198" s="21">
        <v>703</v>
      </c>
      <c r="W198" s="21">
        <v>49.99</v>
      </c>
    </row>
    <row r="199" spans="2:23" x14ac:dyDescent="0.3">
      <c r="B199" s="21">
        <v>13600</v>
      </c>
      <c r="C199" s="21">
        <v>0.5</v>
      </c>
      <c r="D199" s="21">
        <v>0.15</v>
      </c>
      <c r="E199" s="21">
        <v>1437.4384</v>
      </c>
      <c r="F199" s="21">
        <v>703</v>
      </c>
      <c r="G199" s="21">
        <v>50.869599999999998</v>
      </c>
      <c r="J199" s="21">
        <v>13600</v>
      </c>
      <c r="K199" s="21">
        <v>0.5</v>
      </c>
      <c r="L199" s="21">
        <v>0.15</v>
      </c>
      <c r="M199" s="21">
        <v>1424.0097000000001</v>
      </c>
      <c r="N199" s="21">
        <v>703</v>
      </c>
      <c r="O199" s="21">
        <v>50.082000000000001</v>
      </c>
      <c r="R199" s="21">
        <v>13600</v>
      </c>
      <c r="S199" s="21">
        <v>0.5</v>
      </c>
      <c r="T199" s="21">
        <v>0.15</v>
      </c>
      <c r="U199" s="21">
        <v>1422.0875000000001</v>
      </c>
      <c r="V199" s="21">
        <v>703</v>
      </c>
      <c r="W199" s="21">
        <v>49.970999999999997</v>
      </c>
    </row>
    <row r="200" spans="2:23" x14ac:dyDescent="0.3">
      <c r="B200" s="21">
        <v>13800</v>
      </c>
      <c r="C200" s="21">
        <v>0.5</v>
      </c>
      <c r="D200" s="21">
        <v>0.15</v>
      </c>
      <c r="E200" s="21">
        <v>1437.3081</v>
      </c>
      <c r="F200" s="21">
        <v>703</v>
      </c>
      <c r="G200" s="21">
        <v>50.861800000000002</v>
      </c>
      <c r="J200" s="21">
        <v>13800</v>
      </c>
      <c r="K200" s="21">
        <v>0.5</v>
      </c>
      <c r="L200" s="21">
        <v>0.15</v>
      </c>
      <c r="M200" s="21">
        <v>1423.7469000000001</v>
      </c>
      <c r="N200" s="21">
        <v>703</v>
      </c>
      <c r="O200" s="21">
        <v>50.066800000000001</v>
      </c>
      <c r="R200" s="21">
        <v>13800</v>
      </c>
      <c r="S200" s="21">
        <v>0.5</v>
      </c>
      <c r="T200" s="21">
        <v>0.15</v>
      </c>
      <c r="U200" s="21">
        <v>1421.8052</v>
      </c>
      <c r="V200" s="21">
        <v>703</v>
      </c>
      <c r="W200" s="21">
        <v>49.954799999999999</v>
      </c>
    </row>
    <row r="201" spans="2:23" x14ac:dyDescent="0.3">
      <c r="B201" s="21">
        <v>14000</v>
      </c>
      <c r="C201" s="21">
        <v>0.5</v>
      </c>
      <c r="D201" s="21">
        <v>0.15</v>
      </c>
      <c r="E201" s="21">
        <v>1437.1787999999999</v>
      </c>
      <c r="F201" s="21">
        <v>703</v>
      </c>
      <c r="G201" s="21">
        <v>50.854100000000003</v>
      </c>
      <c r="J201" s="21">
        <v>14000</v>
      </c>
      <c r="K201" s="21">
        <v>0.5</v>
      </c>
      <c r="L201" s="21">
        <v>0.15</v>
      </c>
      <c r="M201" s="21">
        <v>1423.5147999999999</v>
      </c>
      <c r="N201" s="21">
        <v>703</v>
      </c>
      <c r="O201" s="21">
        <v>50.053400000000003</v>
      </c>
      <c r="R201" s="21">
        <v>14000</v>
      </c>
      <c r="S201" s="21">
        <v>0.5</v>
      </c>
      <c r="T201" s="21">
        <v>0.15</v>
      </c>
      <c r="U201" s="21">
        <v>1421.5630000000001</v>
      </c>
      <c r="V201" s="21">
        <v>703</v>
      </c>
      <c r="W201" s="21">
        <v>49.940800000000003</v>
      </c>
    </row>
    <row r="202" spans="2:23" x14ac:dyDescent="0.3">
      <c r="B202" s="21">
        <v>14200</v>
      </c>
      <c r="C202" s="21">
        <v>0.5</v>
      </c>
      <c r="D202" s="21">
        <v>0.15</v>
      </c>
      <c r="E202" s="21">
        <v>1437.0762</v>
      </c>
      <c r="F202" s="21">
        <v>703</v>
      </c>
      <c r="G202" s="21">
        <v>50.847999999999999</v>
      </c>
      <c r="J202" s="21">
        <v>14200</v>
      </c>
      <c r="K202" s="21">
        <v>0.5</v>
      </c>
      <c r="L202" s="21">
        <v>0.15</v>
      </c>
      <c r="M202" s="21">
        <v>1423.3092999999999</v>
      </c>
      <c r="N202" s="21">
        <v>703</v>
      </c>
      <c r="O202" s="21">
        <v>50.041499999999999</v>
      </c>
      <c r="R202" s="21">
        <v>14200</v>
      </c>
      <c r="S202" s="21">
        <v>0.5</v>
      </c>
      <c r="T202" s="21">
        <v>0.15</v>
      </c>
      <c r="U202" s="21">
        <v>1421.3489999999999</v>
      </c>
      <c r="V202" s="21">
        <v>703</v>
      </c>
      <c r="W202" s="21">
        <v>49.9285</v>
      </c>
    </row>
    <row r="203" spans="2:23" x14ac:dyDescent="0.3">
      <c r="B203" s="21">
        <v>14400</v>
      </c>
      <c r="C203" s="21">
        <v>0.5</v>
      </c>
      <c r="D203" s="21">
        <v>0.15</v>
      </c>
      <c r="E203" s="21">
        <v>1436.9983</v>
      </c>
      <c r="F203" s="21">
        <v>703</v>
      </c>
      <c r="G203" s="21">
        <v>50.843400000000003</v>
      </c>
      <c r="J203" s="21">
        <v>14400</v>
      </c>
      <c r="K203" s="21">
        <v>0.5</v>
      </c>
      <c r="L203" s="21">
        <v>0.15</v>
      </c>
      <c r="M203" s="21">
        <v>1423.1432</v>
      </c>
      <c r="N203" s="21">
        <v>703</v>
      </c>
      <c r="O203" s="21">
        <v>50.0319</v>
      </c>
      <c r="R203" s="21">
        <v>14400</v>
      </c>
      <c r="S203" s="21">
        <v>0.5</v>
      </c>
      <c r="T203" s="21">
        <v>0.15</v>
      </c>
      <c r="U203" s="21">
        <v>1421.1664000000001</v>
      </c>
      <c r="V203" s="21">
        <v>703</v>
      </c>
      <c r="W203" s="21">
        <v>49.917999999999999</v>
      </c>
    </row>
    <row r="204" spans="2:23" x14ac:dyDescent="0.3">
      <c r="B204" s="21">
        <v>14600</v>
      </c>
      <c r="C204" s="21">
        <v>0.5</v>
      </c>
      <c r="D204" s="21">
        <v>0.15</v>
      </c>
      <c r="E204" s="21">
        <v>1436.9206999999999</v>
      </c>
      <c r="F204" s="21">
        <v>703</v>
      </c>
      <c r="G204" s="21">
        <v>50.838799999999999</v>
      </c>
      <c r="J204" s="21">
        <v>14600</v>
      </c>
      <c r="K204" s="21">
        <v>0.5</v>
      </c>
      <c r="L204" s="21">
        <v>0.15</v>
      </c>
      <c r="M204" s="21">
        <v>1422.9997000000001</v>
      </c>
      <c r="N204" s="21">
        <v>703</v>
      </c>
      <c r="O204" s="21">
        <v>50.023600000000002</v>
      </c>
      <c r="R204" s="21">
        <v>14600</v>
      </c>
      <c r="S204" s="21">
        <v>0.5</v>
      </c>
      <c r="T204" s="21">
        <v>0.15</v>
      </c>
      <c r="U204" s="21">
        <v>1421.0108</v>
      </c>
      <c r="V204" s="21">
        <v>703</v>
      </c>
      <c r="W204" s="21">
        <v>49.909100000000002</v>
      </c>
    </row>
    <row r="205" spans="2:23" x14ac:dyDescent="0.3">
      <c r="B205" s="21">
        <v>14800</v>
      </c>
      <c r="C205" s="21">
        <v>0.5</v>
      </c>
      <c r="D205" s="21">
        <v>0.15</v>
      </c>
      <c r="E205" s="21">
        <v>1436.8434999999999</v>
      </c>
      <c r="F205" s="21">
        <v>703</v>
      </c>
      <c r="G205" s="21">
        <v>50.834200000000003</v>
      </c>
      <c r="J205" s="21">
        <v>14800</v>
      </c>
      <c r="K205" s="21">
        <v>0.5</v>
      </c>
      <c r="L205" s="21">
        <v>0.15</v>
      </c>
      <c r="M205" s="21">
        <v>1422.8761999999999</v>
      </c>
      <c r="N205" s="21">
        <v>703</v>
      </c>
      <c r="O205" s="21">
        <v>50.016500000000001</v>
      </c>
      <c r="R205" s="21">
        <v>14800</v>
      </c>
      <c r="S205" s="21">
        <v>0.5</v>
      </c>
      <c r="T205" s="21">
        <v>0.15</v>
      </c>
      <c r="U205" s="21">
        <v>1420.8720000000001</v>
      </c>
      <c r="V205" s="21">
        <v>703</v>
      </c>
      <c r="W205" s="21">
        <v>49.9011</v>
      </c>
    </row>
    <row r="206" spans="2:23" x14ac:dyDescent="0.3">
      <c r="B206" s="21">
        <v>15000</v>
      </c>
      <c r="C206" s="21">
        <v>0.5</v>
      </c>
      <c r="D206" s="21">
        <v>0.15</v>
      </c>
      <c r="E206" s="21">
        <v>1436.7926</v>
      </c>
      <c r="F206" s="21">
        <v>703</v>
      </c>
      <c r="G206" s="21">
        <v>50.831200000000003</v>
      </c>
      <c r="J206" s="21">
        <v>15000</v>
      </c>
      <c r="K206" s="21">
        <v>0.5</v>
      </c>
      <c r="L206" s="21">
        <v>0.15</v>
      </c>
      <c r="M206" s="21">
        <v>1422.7726</v>
      </c>
      <c r="N206" s="21">
        <v>703</v>
      </c>
      <c r="O206" s="21">
        <v>50.0105</v>
      </c>
      <c r="R206" s="21">
        <v>15000</v>
      </c>
      <c r="S206" s="21">
        <v>0.5</v>
      </c>
      <c r="T206" s="21">
        <v>0.15</v>
      </c>
      <c r="U206" s="21">
        <v>1420.7547999999999</v>
      </c>
      <c r="V206" s="21">
        <v>703</v>
      </c>
      <c r="W206" s="21">
        <v>49.894399999999997</v>
      </c>
    </row>
    <row r="207" spans="2:23" x14ac:dyDescent="0.3">
      <c r="B207" s="21">
        <v>15200</v>
      </c>
      <c r="C207" s="21">
        <v>0.5</v>
      </c>
      <c r="D207" s="21">
        <v>0.15</v>
      </c>
      <c r="E207" s="21">
        <v>1436.7418</v>
      </c>
      <c r="F207" s="21">
        <v>703</v>
      </c>
      <c r="G207" s="21">
        <v>50.828200000000002</v>
      </c>
      <c r="J207" s="21">
        <v>15200</v>
      </c>
      <c r="K207" s="21">
        <v>0.5</v>
      </c>
      <c r="L207" s="21">
        <v>0.15</v>
      </c>
      <c r="M207" s="21">
        <v>1422.6723</v>
      </c>
      <c r="N207" s="21">
        <v>703</v>
      </c>
      <c r="O207" s="21">
        <v>50.0047</v>
      </c>
      <c r="R207" s="21">
        <v>15200</v>
      </c>
      <c r="S207" s="21">
        <v>0.5</v>
      </c>
      <c r="T207" s="21">
        <v>0.15</v>
      </c>
      <c r="U207" s="21">
        <v>1420.6559999999999</v>
      </c>
      <c r="V207" s="21">
        <v>703</v>
      </c>
      <c r="W207" s="21">
        <v>49.8887</v>
      </c>
    </row>
    <row r="208" spans="2:23" x14ac:dyDescent="0.3">
      <c r="B208" s="21">
        <v>15400</v>
      </c>
      <c r="C208" s="21">
        <v>0.5</v>
      </c>
      <c r="D208" s="21">
        <v>0.15</v>
      </c>
      <c r="E208" s="21">
        <v>1436.6912</v>
      </c>
      <c r="F208" s="21">
        <v>703</v>
      </c>
      <c r="G208" s="21">
        <v>50.825200000000002</v>
      </c>
      <c r="J208" s="21">
        <v>15400</v>
      </c>
      <c r="K208" s="21">
        <v>0.5</v>
      </c>
      <c r="L208" s="21">
        <v>0.15</v>
      </c>
      <c r="M208" s="21">
        <v>1422.5890999999999</v>
      </c>
      <c r="N208" s="21">
        <v>703</v>
      </c>
      <c r="O208" s="21">
        <v>49.999899999999997</v>
      </c>
      <c r="R208" s="21">
        <v>15400</v>
      </c>
      <c r="S208" s="21">
        <v>0.5</v>
      </c>
      <c r="T208" s="21">
        <v>0.15</v>
      </c>
      <c r="U208" s="21">
        <v>1420.5668000000001</v>
      </c>
      <c r="V208" s="21">
        <v>703</v>
      </c>
      <c r="W208" s="21">
        <v>49.883600000000001</v>
      </c>
    </row>
    <row r="209" spans="2:23" x14ac:dyDescent="0.3">
      <c r="B209" s="21">
        <v>15600</v>
      </c>
      <c r="C209" s="21">
        <v>0.5</v>
      </c>
      <c r="D209" s="21">
        <v>0.15</v>
      </c>
      <c r="E209" s="21">
        <v>1436.6648</v>
      </c>
      <c r="F209" s="21">
        <v>703</v>
      </c>
      <c r="G209" s="21">
        <v>50.823599999999999</v>
      </c>
      <c r="J209" s="21">
        <v>15600</v>
      </c>
      <c r="K209" s="21">
        <v>0.5</v>
      </c>
      <c r="L209" s="21">
        <v>0.15</v>
      </c>
      <c r="M209" s="21">
        <v>1422.5234</v>
      </c>
      <c r="N209" s="21">
        <v>703</v>
      </c>
      <c r="O209" s="21">
        <v>49.996099999999998</v>
      </c>
      <c r="R209" s="21">
        <v>15600</v>
      </c>
      <c r="S209" s="21">
        <v>0.5</v>
      </c>
      <c r="T209" s="21">
        <v>0.15</v>
      </c>
      <c r="U209" s="21">
        <v>1420.4929</v>
      </c>
      <c r="V209" s="21">
        <v>703</v>
      </c>
      <c r="W209" s="21">
        <v>49.879300000000001</v>
      </c>
    </row>
    <row r="210" spans="2:23" x14ac:dyDescent="0.3">
      <c r="B210" s="21">
        <v>15800</v>
      </c>
      <c r="C210" s="21">
        <v>0.5</v>
      </c>
      <c r="D210" s="21">
        <v>0.15</v>
      </c>
      <c r="E210" s="21">
        <v>1436.6385</v>
      </c>
      <c r="F210" s="21">
        <v>703</v>
      </c>
      <c r="G210" s="21">
        <v>50.822000000000003</v>
      </c>
      <c r="J210" s="21">
        <v>15800</v>
      </c>
      <c r="K210" s="21">
        <v>0.5</v>
      </c>
      <c r="L210" s="21">
        <v>0.15</v>
      </c>
      <c r="M210" s="21">
        <v>1422.4592</v>
      </c>
      <c r="N210" s="21">
        <v>703</v>
      </c>
      <c r="O210" s="21">
        <v>49.992400000000004</v>
      </c>
      <c r="R210" s="21">
        <v>15800</v>
      </c>
      <c r="S210" s="21">
        <v>0.5</v>
      </c>
      <c r="T210" s="21">
        <v>0.15</v>
      </c>
      <c r="U210" s="21">
        <v>1420.4256</v>
      </c>
      <c r="V210" s="21">
        <v>703</v>
      </c>
      <c r="W210" s="21">
        <v>49.875500000000002</v>
      </c>
    </row>
    <row r="211" spans="2:23" x14ac:dyDescent="0.3">
      <c r="B211" s="21">
        <v>16000</v>
      </c>
      <c r="C211" s="21">
        <v>0.5</v>
      </c>
      <c r="D211" s="21">
        <v>0.15</v>
      </c>
      <c r="E211" s="21">
        <v>1436.6122</v>
      </c>
      <c r="F211" s="21">
        <v>703</v>
      </c>
      <c r="G211" s="21">
        <v>50.820500000000003</v>
      </c>
      <c r="J211" s="21">
        <v>16000</v>
      </c>
      <c r="K211" s="21">
        <v>0.5</v>
      </c>
      <c r="L211" s="21">
        <v>0.15</v>
      </c>
      <c r="M211" s="21">
        <v>1422.4105</v>
      </c>
      <c r="N211" s="21">
        <v>703</v>
      </c>
      <c r="O211" s="21">
        <v>49.989600000000003</v>
      </c>
      <c r="R211" s="21">
        <v>16000</v>
      </c>
      <c r="S211" s="21">
        <v>0.5</v>
      </c>
      <c r="T211" s="21">
        <v>0.15</v>
      </c>
      <c r="U211" s="21">
        <v>1420.3704</v>
      </c>
      <c r="V211" s="21">
        <v>703</v>
      </c>
      <c r="W211" s="21">
        <v>49.872300000000003</v>
      </c>
    </row>
    <row r="212" spans="2:23" x14ac:dyDescent="0.3">
      <c r="B212" s="21">
        <v>16200</v>
      </c>
      <c r="C212" s="21">
        <v>0.5</v>
      </c>
      <c r="D212" s="21">
        <v>0.15</v>
      </c>
      <c r="E212" s="21">
        <v>1436.586</v>
      </c>
      <c r="F212" s="21">
        <v>703</v>
      </c>
      <c r="G212" s="21">
        <v>50.818899999999999</v>
      </c>
      <c r="J212" s="21">
        <v>16200</v>
      </c>
      <c r="K212" s="21">
        <v>0.5</v>
      </c>
      <c r="L212" s="21">
        <v>0.15</v>
      </c>
      <c r="M212" s="21">
        <v>1422.3625999999999</v>
      </c>
      <c r="N212" s="21">
        <v>703</v>
      </c>
      <c r="O212" s="21">
        <v>49.986899999999999</v>
      </c>
      <c r="R212" s="21">
        <v>16200</v>
      </c>
      <c r="S212" s="21">
        <v>0.5</v>
      </c>
      <c r="T212" s="21">
        <v>0.15</v>
      </c>
      <c r="U212" s="21">
        <v>1420.3196</v>
      </c>
      <c r="V212" s="21">
        <v>703</v>
      </c>
      <c r="W212" s="21">
        <v>49.869399999999999</v>
      </c>
    </row>
    <row r="213" spans="2:23" x14ac:dyDescent="0.3">
      <c r="B213" s="21">
        <v>16400</v>
      </c>
      <c r="C213" s="21">
        <v>0.5</v>
      </c>
      <c r="D213" s="21">
        <v>0.15</v>
      </c>
      <c r="E213" s="21">
        <v>1436.5598</v>
      </c>
      <c r="F213" s="21">
        <v>703</v>
      </c>
      <c r="G213" s="21">
        <v>50.817399999999999</v>
      </c>
      <c r="J213" s="21">
        <v>16400</v>
      </c>
      <c r="K213" s="21">
        <v>0.5</v>
      </c>
      <c r="L213" s="21">
        <v>0.15</v>
      </c>
      <c r="M213" s="21">
        <v>1422.3309999999999</v>
      </c>
      <c r="N213" s="21">
        <v>703</v>
      </c>
      <c r="O213" s="21">
        <v>49.984999999999999</v>
      </c>
      <c r="R213" s="21">
        <v>16400</v>
      </c>
      <c r="S213" s="21">
        <v>0.5</v>
      </c>
      <c r="T213" s="21">
        <v>0.15</v>
      </c>
      <c r="U213" s="21">
        <v>1420.2796000000001</v>
      </c>
      <c r="V213" s="21">
        <v>703</v>
      </c>
      <c r="W213" s="21">
        <v>49.867100000000001</v>
      </c>
    </row>
    <row r="214" spans="2:23" x14ac:dyDescent="0.3">
      <c r="B214" s="21">
        <v>16600</v>
      </c>
      <c r="C214" s="21">
        <v>0.5</v>
      </c>
      <c r="D214" s="21">
        <v>0.15</v>
      </c>
      <c r="E214" s="21">
        <v>1436.5588</v>
      </c>
      <c r="F214" s="21">
        <v>703</v>
      </c>
      <c r="G214" s="21">
        <v>50.817300000000003</v>
      </c>
      <c r="J214" s="21">
        <v>16600</v>
      </c>
      <c r="K214" s="21">
        <v>0.5</v>
      </c>
      <c r="L214" s="21">
        <v>0.15</v>
      </c>
      <c r="M214" s="21">
        <v>1422.2997</v>
      </c>
      <c r="N214" s="21">
        <v>703</v>
      </c>
      <c r="O214" s="21">
        <v>49.983199999999997</v>
      </c>
      <c r="R214" s="21">
        <v>16600</v>
      </c>
      <c r="S214" s="21">
        <v>0.5</v>
      </c>
      <c r="T214" s="21">
        <v>0.15</v>
      </c>
      <c r="U214" s="21">
        <v>1420.2422999999999</v>
      </c>
      <c r="V214" s="21">
        <v>703</v>
      </c>
      <c r="W214" s="21">
        <v>49.864899999999999</v>
      </c>
    </row>
    <row r="215" spans="2:23" x14ac:dyDescent="0.3">
      <c r="B215" s="21">
        <v>16800</v>
      </c>
      <c r="C215" s="21">
        <v>0.5</v>
      </c>
      <c r="D215" s="21">
        <v>0.15</v>
      </c>
      <c r="E215" s="21">
        <v>1436.5578</v>
      </c>
      <c r="F215" s="21">
        <v>703</v>
      </c>
      <c r="G215" s="21">
        <v>50.817300000000003</v>
      </c>
      <c r="J215" s="21">
        <v>16800</v>
      </c>
      <c r="K215" s="21">
        <v>0.5</v>
      </c>
      <c r="L215" s="21">
        <v>0.15</v>
      </c>
      <c r="M215" s="21">
        <v>1422.2688000000001</v>
      </c>
      <c r="N215" s="21">
        <v>703</v>
      </c>
      <c r="O215" s="21">
        <v>49.981499999999997</v>
      </c>
      <c r="R215" s="21">
        <v>16800</v>
      </c>
      <c r="S215" s="21">
        <v>0.5</v>
      </c>
      <c r="T215" s="21">
        <v>0.15</v>
      </c>
      <c r="U215" s="21">
        <v>1420.2139</v>
      </c>
      <c r="V215" s="21">
        <v>703</v>
      </c>
      <c r="W215" s="21">
        <v>49.863300000000002</v>
      </c>
    </row>
    <row r="216" spans="2:23" x14ac:dyDescent="0.3">
      <c r="B216" s="21">
        <v>17000</v>
      </c>
      <c r="C216" s="21">
        <v>0.5</v>
      </c>
      <c r="D216" s="21">
        <v>0.15</v>
      </c>
      <c r="E216" s="21">
        <v>1436.5568000000001</v>
      </c>
      <c r="F216" s="21">
        <v>703</v>
      </c>
      <c r="G216" s="21">
        <v>50.8172</v>
      </c>
      <c r="J216" s="21">
        <v>17000</v>
      </c>
      <c r="K216" s="21">
        <v>0.5</v>
      </c>
      <c r="L216" s="21">
        <v>0.15</v>
      </c>
      <c r="M216" s="21">
        <v>1422.2382</v>
      </c>
      <c r="N216" s="21">
        <v>703</v>
      </c>
      <c r="O216" s="21">
        <v>49.979700000000001</v>
      </c>
      <c r="R216" s="21">
        <v>17000</v>
      </c>
      <c r="S216" s="21">
        <v>0.5</v>
      </c>
      <c r="T216" s="21">
        <v>0.15</v>
      </c>
      <c r="U216" s="21">
        <v>1420.1869999999999</v>
      </c>
      <c r="V216" s="21">
        <v>703</v>
      </c>
      <c r="W216" s="21">
        <v>49.861800000000002</v>
      </c>
    </row>
    <row r="217" spans="2:23" x14ac:dyDescent="0.3">
      <c r="B217" s="21">
        <v>17200</v>
      </c>
      <c r="C217" s="21">
        <v>0.5</v>
      </c>
      <c r="D217" s="21">
        <v>0.15</v>
      </c>
      <c r="E217" s="21">
        <v>1436.5558000000001</v>
      </c>
      <c r="F217" s="21">
        <v>703</v>
      </c>
      <c r="G217" s="21">
        <v>50.817100000000003</v>
      </c>
      <c r="J217" s="21">
        <v>17200</v>
      </c>
      <c r="K217" s="21">
        <v>0.5</v>
      </c>
      <c r="L217" s="21">
        <v>0.15</v>
      </c>
      <c r="M217" s="21">
        <v>1422.2221999999999</v>
      </c>
      <c r="N217" s="21">
        <v>703</v>
      </c>
      <c r="O217" s="21">
        <v>49.9788</v>
      </c>
      <c r="R217" s="21">
        <v>17200</v>
      </c>
      <c r="S217" s="21">
        <v>0.5</v>
      </c>
      <c r="T217" s="21">
        <v>0.15</v>
      </c>
      <c r="U217" s="21">
        <v>1420.1686</v>
      </c>
      <c r="V217" s="21">
        <v>703</v>
      </c>
      <c r="W217" s="21">
        <v>49.860700000000001</v>
      </c>
    </row>
    <row r="218" spans="2:23" x14ac:dyDescent="0.3">
      <c r="B218" s="21">
        <v>17400</v>
      </c>
      <c r="C218" s="21">
        <v>0.5</v>
      </c>
      <c r="D218" s="21">
        <v>0.15</v>
      </c>
      <c r="E218" s="21">
        <v>1436.5547999999999</v>
      </c>
      <c r="F218" s="21">
        <v>703</v>
      </c>
      <c r="G218" s="21">
        <v>50.817100000000003</v>
      </c>
      <c r="J218" s="21">
        <v>17400</v>
      </c>
      <c r="K218" s="21">
        <v>0.5</v>
      </c>
      <c r="L218" s="21">
        <v>0.15</v>
      </c>
      <c r="M218" s="21">
        <v>1422.2063000000001</v>
      </c>
      <c r="N218" s="21">
        <v>703</v>
      </c>
      <c r="O218" s="21">
        <v>49.977899999999998</v>
      </c>
      <c r="R218" s="21">
        <v>17400</v>
      </c>
      <c r="S218" s="21">
        <v>0.5</v>
      </c>
      <c r="T218" s="21">
        <v>0.15</v>
      </c>
      <c r="U218" s="21">
        <v>1420.1513</v>
      </c>
      <c r="V218" s="21">
        <v>703</v>
      </c>
      <c r="W218" s="21">
        <v>49.859699999999997</v>
      </c>
    </row>
    <row r="219" spans="2:23" x14ac:dyDescent="0.3">
      <c r="B219" s="21">
        <v>17600</v>
      </c>
      <c r="C219" s="21">
        <v>0.5</v>
      </c>
      <c r="D219" s="21">
        <v>0.15</v>
      </c>
      <c r="E219" s="21">
        <v>1436.5539000000001</v>
      </c>
      <c r="F219" s="21">
        <v>703</v>
      </c>
      <c r="G219" s="21">
        <v>50.817</v>
      </c>
      <c r="J219" s="21">
        <v>17600</v>
      </c>
      <c r="K219" s="21">
        <v>0.5</v>
      </c>
      <c r="L219" s="21">
        <v>0.15</v>
      </c>
      <c r="M219" s="21">
        <v>1422.1904</v>
      </c>
      <c r="N219" s="21">
        <v>703</v>
      </c>
      <c r="O219" s="21">
        <v>49.976900000000001</v>
      </c>
      <c r="R219" s="21">
        <v>17600</v>
      </c>
      <c r="S219" s="21">
        <v>0.5</v>
      </c>
      <c r="T219" s="21">
        <v>0.15</v>
      </c>
      <c r="U219" s="21">
        <v>1420.1346000000001</v>
      </c>
      <c r="V219" s="21">
        <v>703</v>
      </c>
      <c r="W219" s="21">
        <v>49.858800000000002</v>
      </c>
    </row>
    <row r="220" spans="2:23" x14ac:dyDescent="0.3">
      <c r="B220" s="21">
        <v>17800</v>
      </c>
      <c r="C220" s="21">
        <v>0.5</v>
      </c>
      <c r="D220" s="21">
        <v>0.15</v>
      </c>
      <c r="E220" s="21">
        <v>1436.5528999999999</v>
      </c>
      <c r="F220" s="21">
        <v>703</v>
      </c>
      <c r="G220" s="21">
        <v>50.817</v>
      </c>
      <c r="J220" s="21">
        <v>17800</v>
      </c>
      <c r="K220" s="21">
        <v>0.5</v>
      </c>
      <c r="L220" s="21">
        <v>0.15</v>
      </c>
      <c r="M220" s="21">
        <v>1422.1747</v>
      </c>
      <c r="N220" s="21">
        <v>703</v>
      </c>
      <c r="O220" s="21">
        <v>49.975999999999999</v>
      </c>
      <c r="R220" s="21">
        <v>17800</v>
      </c>
      <c r="S220" s="21">
        <v>0.5</v>
      </c>
      <c r="T220" s="21">
        <v>0.15</v>
      </c>
      <c r="U220" s="21">
        <v>1420.1187</v>
      </c>
      <c r="V220" s="21">
        <v>703</v>
      </c>
      <c r="W220" s="21">
        <v>49.857799999999997</v>
      </c>
    </row>
    <row r="221" spans="2:23" x14ac:dyDescent="0.3">
      <c r="B221" s="21">
        <v>18000</v>
      </c>
      <c r="C221" s="21">
        <v>0.5</v>
      </c>
      <c r="D221" s="21">
        <v>0.15</v>
      </c>
      <c r="E221" s="21">
        <v>1436.5518999999999</v>
      </c>
      <c r="F221" s="21">
        <v>703</v>
      </c>
      <c r="G221" s="21">
        <v>50.816899999999997</v>
      </c>
      <c r="J221" s="21">
        <v>18000</v>
      </c>
      <c r="K221" s="21">
        <v>0.5</v>
      </c>
      <c r="L221" s="21">
        <v>0.15</v>
      </c>
      <c r="M221" s="21">
        <v>1422.1591000000001</v>
      </c>
      <c r="N221" s="21">
        <v>703</v>
      </c>
      <c r="O221" s="21">
        <v>49.975099999999998</v>
      </c>
      <c r="R221" s="21">
        <v>18000</v>
      </c>
      <c r="S221" s="21">
        <v>0.5</v>
      </c>
      <c r="T221" s="21">
        <v>0.15</v>
      </c>
      <c r="U221" s="21">
        <v>1420.11</v>
      </c>
      <c r="V221" s="21">
        <v>703</v>
      </c>
      <c r="W221" s="21">
        <v>49.857300000000002</v>
      </c>
    </row>
    <row r="222" spans="2:23" x14ac:dyDescent="0.3">
      <c r="B222" s="21">
        <v>18200</v>
      </c>
      <c r="C222" s="21">
        <v>0.5</v>
      </c>
      <c r="D222" s="21">
        <v>0.15</v>
      </c>
      <c r="E222" s="21">
        <v>1436.5509</v>
      </c>
      <c r="F222" s="21">
        <v>703</v>
      </c>
      <c r="G222" s="21">
        <v>50.816800000000001</v>
      </c>
      <c r="J222" s="21">
        <v>18200</v>
      </c>
      <c r="K222" s="21">
        <v>0.5</v>
      </c>
      <c r="L222" s="21">
        <v>0.15</v>
      </c>
      <c r="M222" s="21">
        <v>1422.1436000000001</v>
      </c>
      <c r="N222" s="21">
        <v>703</v>
      </c>
      <c r="O222" s="21">
        <v>49.974200000000003</v>
      </c>
      <c r="R222" s="21">
        <v>18200</v>
      </c>
      <c r="S222" s="21">
        <v>0.5</v>
      </c>
      <c r="T222" s="21">
        <v>0.15</v>
      </c>
      <c r="U222" s="21">
        <v>1420.1016</v>
      </c>
      <c r="V222" s="21">
        <v>703</v>
      </c>
      <c r="W222" s="21">
        <v>49.856900000000003</v>
      </c>
    </row>
    <row r="223" spans="2:23" x14ac:dyDescent="0.3">
      <c r="B223" s="21">
        <v>18400</v>
      </c>
      <c r="C223" s="21">
        <v>0.5</v>
      </c>
      <c r="D223" s="21">
        <v>0.15</v>
      </c>
      <c r="E223" s="21">
        <v>1436.5499</v>
      </c>
      <c r="F223" s="21">
        <v>703</v>
      </c>
      <c r="G223" s="21">
        <v>50.816800000000001</v>
      </c>
      <c r="J223" s="21">
        <v>18400</v>
      </c>
      <c r="K223" s="21">
        <v>0.5</v>
      </c>
      <c r="L223" s="21">
        <v>0.15</v>
      </c>
      <c r="M223" s="21">
        <v>1422.143</v>
      </c>
      <c r="N223" s="21">
        <v>703</v>
      </c>
      <c r="O223" s="21">
        <v>49.974200000000003</v>
      </c>
      <c r="R223" s="21">
        <v>18400</v>
      </c>
      <c r="S223" s="21">
        <v>0.5</v>
      </c>
      <c r="T223" s="21">
        <v>0.15</v>
      </c>
      <c r="U223" s="21">
        <v>1420.0934</v>
      </c>
      <c r="V223" s="21">
        <v>703</v>
      </c>
      <c r="W223" s="21">
        <v>49.856400000000001</v>
      </c>
    </row>
    <row r="224" spans="2:23" x14ac:dyDescent="0.3">
      <c r="B224" s="32"/>
      <c r="C224" s="32"/>
      <c r="D224" s="32"/>
      <c r="E224" s="32"/>
      <c r="F224" s="32"/>
      <c r="G224" s="32"/>
      <c r="J224" s="32"/>
      <c r="K224" s="32"/>
      <c r="L224" s="32"/>
      <c r="M224" s="32"/>
      <c r="N224" s="32"/>
      <c r="O224" s="32"/>
      <c r="R224" s="32"/>
      <c r="S224" s="32"/>
      <c r="T224" s="32"/>
      <c r="U224" s="32"/>
      <c r="V224" s="32"/>
      <c r="W224" s="32"/>
    </row>
    <row r="225" spans="2:23" ht="16.2" thickBot="1" x14ac:dyDescent="0.35">
      <c r="B225" s="1" t="s">
        <v>19</v>
      </c>
      <c r="C225" s="42" t="s">
        <v>20</v>
      </c>
      <c r="D225" s="42"/>
      <c r="E225" s="42"/>
      <c r="J225" s="1" t="s">
        <v>19</v>
      </c>
      <c r="K225" s="42" t="s">
        <v>21</v>
      </c>
      <c r="L225" s="42"/>
      <c r="M225" s="42"/>
      <c r="N225" s="2"/>
      <c r="O225" s="2"/>
      <c r="R225" s="1" t="s">
        <v>19</v>
      </c>
      <c r="S225" s="42" t="s">
        <v>22</v>
      </c>
      <c r="T225" s="42"/>
      <c r="U225" s="42"/>
      <c r="V225" s="2"/>
      <c r="W225" s="2"/>
    </row>
    <row r="226" spans="2:23" x14ac:dyDescent="0.3">
      <c r="B226" s="3"/>
      <c r="C226" s="31" t="s">
        <v>6</v>
      </c>
      <c r="D226" s="30" t="s">
        <v>7</v>
      </c>
      <c r="E226" s="28"/>
      <c r="J226" s="3"/>
      <c r="K226" s="31" t="s">
        <v>6</v>
      </c>
      <c r="L226" s="30" t="s">
        <v>7</v>
      </c>
      <c r="M226" s="28"/>
      <c r="N226" s="2"/>
      <c r="O226" s="2"/>
      <c r="R226" s="3"/>
      <c r="S226" s="31" t="s">
        <v>6</v>
      </c>
      <c r="T226" s="30" t="s">
        <v>7</v>
      </c>
      <c r="U226" s="28"/>
      <c r="V226" s="2"/>
      <c r="W226" s="2"/>
    </row>
    <row r="227" spans="2:23" ht="16.2" thickBot="1" x14ac:dyDescent="0.35">
      <c r="B227" s="25" t="s">
        <v>13</v>
      </c>
      <c r="C227" s="33">
        <v>241</v>
      </c>
      <c r="D227" s="34">
        <v>241</v>
      </c>
      <c r="E227" s="29"/>
      <c r="J227" s="25" t="s">
        <v>13</v>
      </c>
      <c r="K227" s="33">
        <v>121</v>
      </c>
      <c r="L227" s="34">
        <v>121</v>
      </c>
      <c r="M227" s="29"/>
      <c r="N227" s="2"/>
      <c r="O227" s="2"/>
      <c r="R227" s="25" t="s">
        <v>13</v>
      </c>
      <c r="S227" s="33">
        <v>61</v>
      </c>
      <c r="T227" s="34">
        <v>61</v>
      </c>
      <c r="U227" s="29"/>
      <c r="V227" s="2"/>
      <c r="W227" s="2"/>
    </row>
    <row r="228" spans="2:23" x14ac:dyDescent="0.3">
      <c r="B228" s="26" t="s">
        <v>14</v>
      </c>
      <c r="C228" s="35">
        <v>200</v>
      </c>
      <c r="D228" s="32"/>
      <c r="E228" s="29"/>
      <c r="J228" s="26" t="s">
        <v>14</v>
      </c>
      <c r="K228" s="35">
        <v>200</v>
      </c>
      <c r="L228" s="32"/>
      <c r="M228" s="29"/>
      <c r="N228" s="2"/>
      <c r="O228" s="2"/>
      <c r="R228" s="26" t="s">
        <v>14</v>
      </c>
      <c r="S228" s="35">
        <v>200</v>
      </c>
      <c r="T228" s="32"/>
      <c r="U228" s="29"/>
      <c r="V228" s="2"/>
      <c r="W228" s="2"/>
    </row>
    <row r="229" spans="2:23" ht="16.2" thickBot="1" x14ac:dyDescent="0.35">
      <c r="B229" s="26" t="s">
        <v>15</v>
      </c>
      <c r="C229" s="21" t="s">
        <v>12</v>
      </c>
      <c r="D229" s="32"/>
      <c r="E229" s="29"/>
      <c r="J229" s="26" t="s">
        <v>15</v>
      </c>
      <c r="K229" s="21" t="s">
        <v>12</v>
      </c>
      <c r="L229" s="32"/>
      <c r="M229" s="29"/>
      <c r="N229" s="2"/>
      <c r="O229" s="2"/>
      <c r="R229" s="26" t="s">
        <v>15</v>
      </c>
      <c r="S229" s="21" t="s">
        <v>12</v>
      </c>
      <c r="T229" s="32"/>
      <c r="U229" s="29"/>
      <c r="V229" s="2"/>
      <c r="W229" s="2"/>
    </row>
    <row r="230" spans="2:23" x14ac:dyDescent="0.3">
      <c r="B230" s="26" t="s">
        <v>16</v>
      </c>
      <c r="C230" s="36">
        <v>1E-3</v>
      </c>
      <c r="D230" s="31" t="s">
        <v>6</v>
      </c>
      <c r="E230" s="30" t="s">
        <v>7</v>
      </c>
      <c r="J230" s="26" t="s">
        <v>16</v>
      </c>
      <c r="K230" s="36">
        <v>1E-3</v>
      </c>
      <c r="L230" s="31" t="s">
        <v>6</v>
      </c>
      <c r="M230" s="30" t="s">
        <v>7</v>
      </c>
      <c r="N230" s="2"/>
      <c r="O230" s="2"/>
      <c r="R230" s="26" t="s">
        <v>16</v>
      </c>
      <c r="S230" s="36">
        <v>1E-3</v>
      </c>
      <c r="T230" s="31" t="s">
        <v>6</v>
      </c>
      <c r="U230" s="30" t="s">
        <v>7</v>
      </c>
      <c r="V230" s="2"/>
      <c r="W230" s="2"/>
    </row>
    <row r="231" spans="2:23" ht="16.2" thickBot="1" x14ac:dyDescent="0.35">
      <c r="B231" s="27" t="s">
        <v>18</v>
      </c>
      <c r="C231" s="37">
        <v>3</v>
      </c>
      <c r="D231" s="23">
        <f>VLOOKUP(C231,$J$4:$L$12,2,FALSE)</f>
        <v>0.75</v>
      </c>
      <c r="E231" s="24">
        <f>VLOOKUP(C231,$J$4:$L$12,3,FALSE)</f>
        <v>0.15</v>
      </c>
      <c r="J231" s="27" t="s">
        <v>18</v>
      </c>
      <c r="K231" s="37">
        <v>3</v>
      </c>
      <c r="L231" s="23">
        <f>VLOOKUP(K231,$J$4:$L$12,2,FALSE)</f>
        <v>0.75</v>
      </c>
      <c r="M231" s="24">
        <f>VLOOKUP(K231,$J$4:$L$12,3,FALSE)</f>
        <v>0.15</v>
      </c>
      <c r="N231" s="2"/>
      <c r="O231" s="2"/>
      <c r="R231" s="27" t="s">
        <v>18</v>
      </c>
      <c r="S231" s="37">
        <v>3</v>
      </c>
      <c r="T231" s="23">
        <f>VLOOKUP(S231,$J$4:$L$12,2,FALSE)</f>
        <v>0.75</v>
      </c>
      <c r="U231" s="24">
        <f>VLOOKUP(S231,$J$4:$L$12,3,FALSE)</f>
        <v>0.15</v>
      </c>
      <c r="V231" s="2"/>
      <c r="W231" s="2"/>
    </row>
    <row r="232" spans="2:23" x14ac:dyDescent="0.3">
      <c r="K232" s="2"/>
      <c r="L232" s="2"/>
      <c r="M232" s="2"/>
      <c r="N232" s="2"/>
      <c r="O232" s="2"/>
      <c r="S232" s="2"/>
      <c r="T232" s="2"/>
      <c r="U232" s="2"/>
      <c r="V232" s="2"/>
      <c r="W232" s="2"/>
    </row>
    <row r="233" spans="2:23" x14ac:dyDescent="0.3">
      <c r="B233" s="38" t="s">
        <v>0</v>
      </c>
      <c r="C233" s="39" t="s">
        <v>1</v>
      </c>
      <c r="D233" s="39" t="s">
        <v>2</v>
      </c>
      <c r="E233" s="39" t="s">
        <v>3</v>
      </c>
      <c r="F233" s="39" t="s">
        <v>4</v>
      </c>
      <c r="G233" s="39" t="s">
        <v>5</v>
      </c>
      <c r="J233" s="38" t="s">
        <v>0</v>
      </c>
      <c r="K233" s="39" t="s">
        <v>1</v>
      </c>
      <c r="L233" s="39" t="s">
        <v>2</v>
      </c>
      <c r="M233" s="39" t="s">
        <v>3</v>
      </c>
      <c r="N233" s="39" t="s">
        <v>4</v>
      </c>
      <c r="O233" s="39" t="s">
        <v>5</v>
      </c>
      <c r="R233" s="38" t="s">
        <v>0</v>
      </c>
      <c r="S233" s="39" t="s">
        <v>1</v>
      </c>
      <c r="T233" s="39" t="s">
        <v>2</v>
      </c>
      <c r="U233" s="39" t="s">
        <v>3</v>
      </c>
      <c r="V233" s="39" t="s">
        <v>4</v>
      </c>
      <c r="W233" s="39" t="s">
        <v>5</v>
      </c>
    </row>
    <row r="234" spans="2:23" x14ac:dyDescent="0.3">
      <c r="B234" s="21">
        <v>0</v>
      </c>
      <c r="C234" s="21">
        <v>0.75</v>
      </c>
      <c r="D234" s="21">
        <v>0.15</v>
      </c>
      <c r="E234" s="21">
        <v>300</v>
      </c>
      <c r="F234" s="21">
        <v>478.57299999999998</v>
      </c>
      <c r="G234" s="21">
        <v>62.213700000000003</v>
      </c>
      <c r="J234" s="21">
        <v>0</v>
      </c>
      <c r="K234" s="21">
        <v>0.75</v>
      </c>
      <c r="L234" s="21">
        <v>0.15</v>
      </c>
      <c r="M234" s="21">
        <v>300</v>
      </c>
      <c r="N234" s="21">
        <v>478.57299999999998</v>
      </c>
      <c r="O234" s="21">
        <v>62.213700000000003</v>
      </c>
      <c r="R234" s="21">
        <v>0</v>
      </c>
      <c r="S234" s="21">
        <v>0.75</v>
      </c>
      <c r="T234" s="21">
        <v>0.15</v>
      </c>
      <c r="U234" s="21">
        <v>300</v>
      </c>
      <c r="V234" s="21">
        <v>478.57299999999998</v>
      </c>
      <c r="W234" s="21">
        <v>62.213700000000003</v>
      </c>
    </row>
    <row r="235" spans="2:23" x14ac:dyDescent="0.3">
      <c r="B235" s="21">
        <v>200</v>
      </c>
      <c r="C235" s="21">
        <v>0.75</v>
      </c>
      <c r="D235" s="21">
        <v>0.15</v>
      </c>
      <c r="E235" s="21">
        <v>380.7063</v>
      </c>
      <c r="F235" s="21">
        <v>459.5154</v>
      </c>
      <c r="G235" s="21">
        <v>58.985399999999998</v>
      </c>
      <c r="J235" s="21">
        <v>200</v>
      </c>
      <c r="K235" s="21">
        <v>0.75</v>
      </c>
      <c r="L235" s="21">
        <v>0.15</v>
      </c>
      <c r="M235" s="21">
        <v>383.42610000000002</v>
      </c>
      <c r="N235" s="21">
        <v>460.20859999999999</v>
      </c>
      <c r="O235" s="21">
        <v>58.868000000000002</v>
      </c>
      <c r="R235" s="21">
        <v>200</v>
      </c>
      <c r="S235" s="21">
        <v>0.75</v>
      </c>
      <c r="T235" s="21">
        <v>0.15</v>
      </c>
      <c r="U235" s="21">
        <v>383.75470000000001</v>
      </c>
      <c r="V235" s="21">
        <v>460.29669999999999</v>
      </c>
      <c r="W235" s="21">
        <v>58.8538</v>
      </c>
    </row>
    <row r="236" spans="2:23" x14ac:dyDescent="0.3">
      <c r="B236" s="21">
        <v>400</v>
      </c>
      <c r="C236" s="21">
        <v>0.75</v>
      </c>
      <c r="D236" s="21">
        <v>0.15</v>
      </c>
      <c r="E236" s="21">
        <v>455.59899999999999</v>
      </c>
      <c r="F236" s="21">
        <v>495.88589999999999</v>
      </c>
      <c r="G236" s="21">
        <v>55.625900000000001</v>
      </c>
      <c r="J236" s="21">
        <v>400</v>
      </c>
      <c r="K236" s="21">
        <v>0.75</v>
      </c>
      <c r="L236" s="21">
        <v>0.15</v>
      </c>
      <c r="M236" s="21">
        <v>460.52289999999999</v>
      </c>
      <c r="N236" s="21">
        <v>499.10500000000002</v>
      </c>
      <c r="O236" s="21">
        <v>55.398499999999999</v>
      </c>
      <c r="R236" s="21">
        <v>400</v>
      </c>
      <c r="S236" s="21">
        <v>0.75</v>
      </c>
      <c r="T236" s="21">
        <v>0.15</v>
      </c>
      <c r="U236" s="21">
        <v>461.13080000000002</v>
      </c>
      <c r="V236" s="21">
        <v>499.5061</v>
      </c>
      <c r="W236" s="21">
        <v>55.3703</v>
      </c>
    </row>
    <row r="237" spans="2:23" x14ac:dyDescent="0.3">
      <c r="B237" s="21">
        <v>600</v>
      </c>
      <c r="C237" s="21">
        <v>0.75</v>
      </c>
      <c r="D237" s="21">
        <v>0.15</v>
      </c>
      <c r="E237" s="21">
        <v>520.0127</v>
      </c>
      <c r="F237" s="21">
        <v>539.94359999999995</v>
      </c>
      <c r="G237" s="21">
        <v>52.631300000000003</v>
      </c>
      <c r="J237" s="21">
        <v>600</v>
      </c>
      <c r="K237" s="21">
        <v>0.75</v>
      </c>
      <c r="L237" s="21">
        <v>0.15</v>
      </c>
      <c r="M237" s="21">
        <v>526.82600000000002</v>
      </c>
      <c r="N237" s="21">
        <v>544.57270000000005</v>
      </c>
      <c r="O237" s="21">
        <v>52.314700000000002</v>
      </c>
      <c r="R237" s="21">
        <v>600</v>
      </c>
      <c r="S237" s="21">
        <v>0.75</v>
      </c>
      <c r="T237" s="21">
        <v>0.15</v>
      </c>
      <c r="U237" s="21">
        <v>527.67089999999996</v>
      </c>
      <c r="V237" s="21">
        <v>545.14300000000003</v>
      </c>
      <c r="W237" s="21">
        <v>52.275500000000001</v>
      </c>
    </row>
    <row r="238" spans="2:23" x14ac:dyDescent="0.3">
      <c r="B238" s="21">
        <v>800</v>
      </c>
      <c r="C238" s="21">
        <v>0.75</v>
      </c>
      <c r="D238" s="21">
        <v>0.15</v>
      </c>
      <c r="E238" s="21">
        <v>576.72979999999995</v>
      </c>
      <c r="F238" s="21">
        <v>576.11879999999996</v>
      </c>
      <c r="G238" s="21">
        <v>50.022100000000002</v>
      </c>
      <c r="J238" s="21">
        <v>800</v>
      </c>
      <c r="K238" s="21">
        <v>0.75</v>
      </c>
      <c r="L238" s="21">
        <v>0.15</v>
      </c>
      <c r="M238" s="21">
        <v>585.23599999999999</v>
      </c>
      <c r="N238" s="21">
        <v>580.9579</v>
      </c>
      <c r="O238" s="21">
        <v>49.638399999999997</v>
      </c>
      <c r="R238" s="21">
        <v>800</v>
      </c>
      <c r="S238" s="21">
        <v>0.75</v>
      </c>
      <c r="T238" s="21">
        <v>0.15</v>
      </c>
      <c r="U238" s="21">
        <v>586.28399999999999</v>
      </c>
      <c r="V238" s="21">
        <v>581.54169999999999</v>
      </c>
      <c r="W238" s="21">
        <v>49.591299999999997</v>
      </c>
    </row>
    <row r="239" spans="2:23" x14ac:dyDescent="0.3">
      <c r="B239" s="21">
        <v>1000</v>
      </c>
      <c r="C239" s="21">
        <v>0.75</v>
      </c>
      <c r="D239" s="21">
        <v>0.15</v>
      </c>
      <c r="E239" s="21">
        <v>627.78819999999996</v>
      </c>
      <c r="F239" s="21">
        <v>602.43560000000002</v>
      </c>
      <c r="G239" s="21">
        <v>47.764200000000002</v>
      </c>
      <c r="J239" s="21">
        <v>1000</v>
      </c>
      <c r="K239" s="21">
        <v>0.75</v>
      </c>
      <c r="L239" s="21">
        <v>0.15</v>
      </c>
      <c r="M239" s="21">
        <v>637.84990000000005</v>
      </c>
      <c r="N239" s="21">
        <v>606.86369999999999</v>
      </c>
      <c r="O239" s="21">
        <v>47.334299999999999</v>
      </c>
      <c r="R239" s="21">
        <v>1000</v>
      </c>
      <c r="S239" s="21">
        <v>0.75</v>
      </c>
      <c r="T239" s="21">
        <v>0.15</v>
      </c>
      <c r="U239" s="21">
        <v>639.0847</v>
      </c>
      <c r="V239" s="21">
        <v>607.39120000000003</v>
      </c>
      <c r="W239" s="21">
        <v>47.2819</v>
      </c>
    </row>
    <row r="240" spans="2:23" x14ac:dyDescent="0.3">
      <c r="B240" s="21">
        <v>1140</v>
      </c>
      <c r="C240" s="21">
        <v>0.75</v>
      </c>
      <c r="D240" s="21">
        <v>0.15</v>
      </c>
      <c r="E240" s="21">
        <v>661.2713</v>
      </c>
      <c r="F240" s="21">
        <v>616.3329</v>
      </c>
      <c r="G240" s="21">
        <v>46.356900000000003</v>
      </c>
      <c r="J240" s="21">
        <v>1140</v>
      </c>
      <c r="K240" s="21">
        <v>0.75</v>
      </c>
      <c r="L240" s="21">
        <v>0.15</v>
      </c>
      <c r="M240" s="21">
        <v>672.35220000000004</v>
      </c>
      <c r="N240" s="21">
        <v>620.46900000000005</v>
      </c>
      <c r="O240" s="21">
        <v>45.9069</v>
      </c>
      <c r="R240" s="21">
        <v>1140</v>
      </c>
      <c r="S240" s="21">
        <v>0.75</v>
      </c>
      <c r="T240" s="21">
        <v>0.15</v>
      </c>
      <c r="U240" s="21">
        <v>673.70719999999994</v>
      </c>
      <c r="V240" s="21">
        <v>620.96249999999998</v>
      </c>
      <c r="W240" s="21">
        <v>45.852400000000003</v>
      </c>
    </row>
    <row r="241" spans="2:23" x14ac:dyDescent="0.3">
      <c r="B241" s="21">
        <v>1340</v>
      </c>
      <c r="C241" s="21">
        <v>0.75</v>
      </c>
      <c r="D241" s="21">
        <v>0.15</v>
      </c>
      <c r="E241" s="21">
        <v>728.99210000000005</v>
      </c>
      <c r="F241" s="21">
        <v>640.18169999999998</v>
      </c>
      <c r="G241" s="21">
        <v>43.750799999999998</v>
      </c>
      <c r="J241" s="21">
        <v>1340</v>
      </c>
      <c r="K241" s="21">
        <v>0.75</v>
      </c>
      <c r="L241" s="21">
        <v>0.15</v>
      </c>
      <c r="M241" s="21">
        <v>740.88400000000001</v>
      </c>
      <c r="N241" s="21">
        <v>644.52250000000004</v>
      </c>
      <c r="O241" s="21">
        <v>43.332299999999996</v>
      </c>
      <c r="R241" s="21">
        <v>1340</v>
      </c>
      <c r="S241" s="21">
        <v>0.75</v>
      </c>
      <c r="T241" s="21">
        <v>0.15</v>
      </c>
      <c r="U241" s="21">
        <v>742.31449999999995</v>
      </c>
      <c r="V241" s="21">
        <v>645.06179999999995</v>
      </c>
      <c r="W241" s="21">
        <v>43.282800000000002</v>
      </c>
    </row>
    <row r="242" spans="2:23" x14ac:dyDescent="0.3">
      <c r="B242" s="21">
        <v>1540</v>
      </c>
      <c r="C242" s="21">
        <v>0.75</v>
      </c>
      <c r="D242" s="21">
        <v>0.15</v>
      </c>
      <c r="E242" s="21">
        <v>793.55809999999997</v>
      </c>
      <c r="F242" s="21">
        <v>668.86919999999998</v>
      </c>
      <c r="G242" s="21">
        <v>41.641399999999997</v>
      </c>
      <c r="J242" s="21">
        <v>1540</v>
      </c>
      <c r="K242" s="21">
        <v>0.75</v>
      </c>
      <c r="L242" s="21">
        <v>0.15</v>
      </c>
      <c r="M242" s="21">
        <v>805.82389999999998</v>
      </c>
      <c r="N242" s="21">
        <v>676.53229999999996</v>
      </c>
      <c r="O242" s="21">
        <v>41.288600000000002</v>
      </c>
      <c r="R242" s="21">
        <v>1540</v>
      </c>
      <c r="S242" s="21">
        <v>0.75</v>
      </c>
      <c r="T242" s="21">
        <v>0.15</v>
      </c>
      <c r="U242" s="21">
        <v>807.29190000000006</v>
      </c>
      <c r="V242" s="21">
        <v>677.51919999999996</v>
      </c>
      <c r="W242" s="21">
        <v>41.247500000000002</v>
      </c>
    </row>
    <row r="243" spans="2:23" x14ac:dyDescent="0.3">
      <c r="B243" s="21">
        <v>1740</v>
      </c>
      <c r="C243" s="21">
        <v>0.75</v>
      </c>
      <c r="D243" s="21">
        <v>0.15</v>
      </c>
      <c r="E243" s="21">
        <v>850.24890000000005</v>
      </c>
      <c r="F243" s="21">
        <v>714.8184</v>
      </c>
      <c r="G243" s="21">
        <v>40.151899999999998</v>
      </c>
      <c r="J243" s="21">
        <v>1740</v>
      </c>
      <c r="K243" s="21">
        <v>0.75</v>
      </c>
      <c r="L243" s="21">
        <v>0.15</v>
      </c>
      <c r="M243" s="21">
        <v>862.52809999999999</v>
      </c>
      <c r="N243" s="21">
        <v>729.16369999999995</v>
      </c>
      <c r="O243" s="21">
        <v>39.878599999999999</v>
      </c>
      <c r="R243" s="21">
        <v>1740</v>
      </c>
      <c r="S243" s="21">
        <v>0.75</v>
      </c>
      <c r="T243" s="21">
        <v>0.15</v>
      </c>
      <c r="U243" s="21">
        <v>864.00319999999999</v>
      </c>
      <c r="V243" s="21">
        <v>731.01919999999996</v>
      </c>
      <c r="W243" s="21">
        <v>39.847000000000001</v>
      </c>
    </row>
    <row r="244" spans="2:23" x14ac:dyDescent="0.3">
      <c r="B244" s="21">
        <v>1940</v>
      </c>
      <c r="C244" s="21">
        <v>0.75</v>
      </c>
      <c r="D244" s="21">
        <v>0.15</v>
      </c>
      <c r="E244" s="21">
        <v>899.28399999999999</v>
      </c>
      <c r="F244" s="21">
        <v>785.17840000000001</v>
      </c>
      <c r="G244" s="21">
        <v>39.1721</v>
      </c>
      <c r="J244" s="21">
        <v>1940</v>
      </c>
      <c r="K244" s="21">
        <v>0.75</v>
      </c>
      <c r="L244" s="21">
        <v>0.15</v>
      </c>
      <c r="M244" s="21">
        <v>911.44460000000004</v>
      </c>
      <c r="N244" s="21">
        <v>808.82119999999998</v>
      </c>
      <c r="O244" s="21">
        <v>38.976300000000002</v>
      </c>
      <c r="R244" s="21">
        <v>1940</v>
      </c>
      <c r="S244" s="21">
        <v>0.75</v>
      </c>
      <c r="T244" s="21">
        <v>0.15</v>
      </c>
      <c r="U244" s="21">
        <v>912.91989999999998</v>
      </c>
      <c r="V244" s="21">
        <v>811.88580000000002</v>
      </c>
      <c r="W244" s="21">
        <v>38.953899999999997</v>
      </c>
    </row>
    <row r="245" spans="2:23" x14ac:dyDescent="0.3">
      <c r="B245" s="21">
        <v>2140</v>
      </c>
      <c r="C245" s="21">
        <v>0.75</v>
      </c>
      <c r="D245" s="21">
        <v>0.15</v>
      </c>
      <c r="E245" s="21">
        <v>941.93079999999998</v>
      </c>
      <c r="F245" s="21">
        <v>881.70410000000004</v>
      </c>
      <c r="G245" s="21">
        <v>38.571599999999997</v>
      </c>
      <c r="J245" s="21">
        <v>2140</v>
      </c>
      <c r="K245" s="21">
        <v>0.75</v>
      </c>
      <c r="L245" s="21">
        <v>0.15</v>
      </c>
      <c r="M245" s="21">
        <v>953.94299999999998</v>
      </c>
      <c r="N245" s="21">
        <v>916.47540000000004</v>
      </c>
      <c r="O245" s="21">
        <v>38.4467</v>
      </c>
      <c r="R245" s="21">
        <v>2140</v>
      </c>
      <c r="S245" s="21">
        <v>0.75</v>
      </c>
      <c r="T245" s="21">
        <v>0.15</v>
      </c>
      <c r="U245" s="21">
        <v>955.39710000000002</v>
      </c>
      <c r="V245" s="21">
        <v>920.93960000000004</v>
      </c>
      <c r="W245" s="21">
        <v>38.432899999999997</v>
      </c>
    </row>
    <row r="246" spans="2:23" x14ac:dyDescent="0.3">
      <c r="B246" s="21">
        <v>2340</v>
      </c>
      <c r="C246" s="21">
        <v>0.75</v>
      </c>
      <c r="D246" s="21">
        <v>0.15</v>
      </c>
      <c r="E246" s="21">
        <v>979.5933</v>
      </c>
      <c r="F246" s="21">
        <v>1003.9583</v>
      </c>
      <c r="G246" s="21">
        <v>38.2468</v>
      </c>
      <c r="J246" s="21">
        <v>2340</v>
      </c>
      <c r="K246" s="21">
        <v>0.75</v>
      </c>
      <c r="L246" s="21">
        <v>0.15</v>
      </c>
      <c r="M246" s="21">
        <v>991.60109999999997</v>
      </c>
      <c r="N246" s="21">
        <v>1051.7478000000001</v>
      </c>
      <c r="O246" s="21">
        <v>38.185000000000002</v>
      </c>
      <c r="R246" s="21">
        <v>2340</v>
      </c>
      <c r="S246" s="21">
        <v>0.75</v>
      </c>
      <c r="T246" s="21">
        <v>0.15</v>
      </c>
      <c r="U246" s="21">
        <v>993.03539999999998</v>
      </c>
      <c r="V246" s="21">
        <v>1057.7698</v>
      </c>
      <c r="W246" s="21">
        <v>38.179000000000002</v>
      </c>
    </row>
    <row r="247" spans="2:23" x14ac:dyDescent="0.3">
      <c r="B247" s="21">
        <v>2540</v>
      </c>
      <c r="C247" s="21">
        <v>0.75</v>
      </c>
      <c r="D247" s="21">
        <v>0.15</v>
      </c>
      <c r="E247" s="21">
        <v>1013.7593000000001</v>
      </c>
      <c r="F247" s="21">
        <v>1152.7370000000001</v>
      </c>
      <c r="G247" s="21">
        <v>38.125100000000003</v>
      </c>
      <c r="J247" s="21">
        <v>2540</v>
      </c>
      <c r="K247" s="21">
        <v>0.75</v>
      </c>
      <c r="L247" s="21">
        <v>0.15</v>
      </c>
      <c r="M247" s="21">
        <v>1026.1832999999999</v>
      </c>
      <c r="N247" s="21">
        <v>1217.2544</v>
      </c>
      <c r="O247" s="21">
        <v>38.122599999999998</v>
      </c>
      <c r="R247" s="21">
        <v>2540</v>
      </c>
      <c r="S247" s="21">
        <v>0.75</v>
      </c>
      <c r="T247" s="21">
        <v>0.15</v>
      </c>
      <c r="U247" s="21">
        <v>1027.6364000000001</v>
      </c>
      <c r="V247" s="21">
        <v>1225.194</v>
      </c>
      <c r="W247" s="21">
        <v>38.123699999999999</v>
      </c>
    </row>
    <row r="248" spans="2:23" x14ac:dyDescent="0.3">
      <c r="B248" s="21">
        <v>2740</v>
      </c>
      <c r="C248" s="21">
        <v>0.75</v>
      </c>
      <c r="D248" s="21">
        <v>0.15</v>
      </c>
      <c r="E248" s="21">
        <v>1046.0958000000001</v>
      </c>
      <c r="F248" s="21">
        <v>1081.5777</v>
      </c>
      <c r="G248" s="21">
        <v>38.165599999999998</v>
      </c>
      <c r="J248" s="21">
        <v>2740</v>
      </c>
      <c r="K248" s="21">
        <v>0.75</v>
      </c>
      <c r="L248" s="21">
        <v>0.15</v>
      </c>
      <c r="M248" s="21">
        <v>1059.4617000000001</v>
      </c>
      <c r="N248" s="21">
        <v>1033.5861</v>
      </c>
      <c r="O248" s="21">
        <v>38.227200000000003</v>
      </c>
      <c r="R248" s="21">
        <v>2740</v>
      </c>
      <c r="S248" s="21">
        <v>0.75</v>
      </c>
      <c r="T248" s="21">
        <v>0.15</v>
      </c>
      <c r="U248" s="21">
        <v>1060.9982</v>
      </c>
      <c r="V248" s="21">
        <v>1028.2435</v>
      </c>
      <c r="W248" s="21">
        <v>38.235999999999997</v>
      </c>
    </row>
    <row r="249" spans="2:23" x14ac:dyDescent="0.3">
      <c r="B249" s="21">
        <v>2940</v>
      </c>
      <c r="C249" s="21">
        <v>0.75</v>
      </c>
      <c r="D249" s="21">
        <v>0.15</v>
      </c>
      <c r="E249" s="21">
        <v>1077.3870999999999</v>
      </c>
      <c r="F249" s="21">
        <v>973.54570000000001</v>
      </c>
      <c r="G249" s="21">
        <v>38.351500000000001</v>
      </c>
      <c r="J249" s="21">
        <v>2940</v>
      </c>
      <c r="K249" s="21">
        <v>0.75</v>
      </c>
      <c r="L249" s="21">
        <v>0.15</v>
      </c>
      <c r="M249" s="21">
        <v>1092.1206</v>
      </c>
      <c r="N249" s="21">
        <v>928.0326</v>
      </c>
      <c r="O249" s="21">
        <v>38.4895</v>
      </c>
      <c r="R249" s="21">
        <v>2940</v>
      </c>
      <c r="S249" s="21">
        <v>0.75</v>
      </c>
      <c r="T249" s="21">
        <v>0.15</v>
      </c>
      <c r="U249" s="21">
        <v>1093.8226</v>
      </c>
      <c r="V249" s="21">
        <v>923.00350000000003</v>
      </c>
      <c r="W249" s="21">
        <v>38.507599999999996</v>
      </c>
    </row>
    <row r="250" spans="2:23" x14ac:dyDescent="0.3">
      <c r="B250" s="21">
        <v>3060</v>
      </c>
      <c r="C250" s="21">
        <v>0.75</v>
      </c>
      <c r="D250" s="21">
        <v>0.15</v>
      </c>
      <c r="E250" s="21">
        <v>1095.9485</v>
      </c>
      <c r="F250" s="21">
        <v>916.7894</v>
      </c>
      <c r="G250" s="21">
        <v>38.530700000000003</v>
      </c>
      <c r="J250" s="21">
        <v>3060</v>
      </c>
      <c r="K250" s="21">
        <v>0.75</v>
      </c>
      <c r="L250" s="21">
        <v>0.15</v>
      </c>
      <c r="M250" s="21">
        <v>1111.6534999999999</v>
      </c>
      <c r="N250" s="21">
        <v>873.23440000000005</v>
      </c>
      <c r="O250" s="21">
        <v>38.722799999999999</v>
      </c>
      <c r="R250" s="21">
        <v>3060</v>
      </c>
      <c r="S250" s="21">
        <v>0.75</v>
      </c>
      <c r="T250" s="21">
        <v>0.15</v>
      </c>
      <c r="U250" s="21">
        <v>1113.4576</v>
      </c>
      <c r="V250" s="21">
        <v>868.5</v>
      </c>
      <c r="W250" s="21">
        <v>38.747199999999999</v>
      </c>
    </row>
    <row r="251" spans="2:23" x14ac:dyDescent="0.3">
      <c r="B251" s="21">
        <v>3260</v>
      </c>
      <c r="C251" s="21">
        <v>0.75</v>
      </c>
      <c r="D251" s="21">
        <v>0.15</v>
      </c>
      <c r="E251" s="21">
        <v>1138.8900000000001</v>
      </c>
      <c r="F251" s="21">
        <v>807.83569999999997</v>
      </c>
      <c r="G251" s="21">
        <v>39.143900000000002</v>
      </c>
      <c r="J251" s="21">
        <v>3260</v>
      </c>
      <c r="K251" s="21">
        <v>0.75</v>
      </c>
      <c r="L251" s="21">
        <v>0.15</v>
      </c>
      <c r="M251" s="21">
        <v>1156.415</v>
      </c>
      <c r="N251" s="21">
        <v>772.84019999999998</v>
      </c>
      <c r="O251" s="21">
        <v>39.4741</v>
      </c>
      <c r="R251" s="21">
        <v>3260</v>
      </c>
      <c r="S251" s="21">
        <v>0.75</v>
      </c>
      <c r="T251" s="21">
        <v>0.15</v>
      </c>
      <c r="U251" s="21">
        <v>1158.4317000000001</v>
      </c>
      <c r="V251" s="21">
        <v>769.18039999999996</v>
      </c>
      <c r="W251" s="21">
        <v>39.515000000000001</v>
      </c>
    </row>
    <row r="252" spans="2:23" x14ac:dyDescent="0.3">
      <c r="B252" s="21">
        <v>3460</v>
      </c>
      <c r="C252" s="21">
        <v>0.75</v>
      </c>
      <c r="D252" s="21">
        <v>0.15</v>
      </c>
      <c r="E252" s="21">
        <v>1183.1107999999999</v>
      </c>
      <c r="F252" s="21">
        <v>730.70989999999995</v>
      </c>
      <c r="G252" s="21">
        <v>40.066000000000003</v>
      </c>
      <c r="J252" s="21">
        <v>3460</v>
      </c>
      <c r="K252" s="21">
        <v>0.75</v>
      </c>
      <c r="L252" s="21">
        <v>0.15</v>
      </c>
      <c r="M252" s="21">
        <v>1201.9553000000001</v>
      </c>
      <c r="N252" s="21">
        <v>703</v>
      </c>
      <c r="O252" s="21">
        <v>40.548299999999998</v>
      </c>
      <c r="R252" s="21">
        <v>3460</v>
      </c>
      <c r="S252" s="21">
        <v>0.75</v>
      </c>
      <c r="T252" s="21">
        <v>0.15</v>
      </c>
      <c r="U252" s="21">
        <v>1204.1167</v>
      </c>
      <c r="V252" s="21">
        <v>703</v>
      </c>
      <c r="W252" s="21">
        <v>40.607100000000003</v>
      </c>
    </row>
    <row r="253" spans="2:23" x14ac:dyDescent="0.3">
      <c r="B253" s="21">
        <v>3660</v>
      </c>
      <c r="C253" s="21">
        <v>0.75</v>
      </c>
      <c r="D253" s="21">
        <v>0.15</v>
      </c>
      <c r="E253" s="21">
        <v>1224.6510000000001</v>
      </c>
      <c r="F253" s="21">
        <v>703</v>
      </c>
      <c r="G253" s="21">
        <v>41.199800000000003</v>
      </c>
      <c r="J253" s="21">
        <v>3660</v>
      </c>
      <c r="K253" s="21">
        <v>0.75</v>
      </c>
      <c r="L253" s="21">
        <v>0.15</v>
      </c>
      <c r="M253" s="21">
        <v>1243.9534000000001</v>
      </c>
      <c r="N253" s="21">
        <v>703</v>
      </c>
      <c r="O253" s="21">
        <v>41.814</v>
      </c>
      <c r="R253" s="21">
        <v>3660</v>
      </c>
      <c r="S253" s="21">
        <v>0.75</v>
      </c>
      <c r="T253" s="21">
        <v>0.15</v>
      </c>
      <c r="U253" s="21">
        <v>1246.1572000000001</v>
      </c>
      <c r="V253" s="21">
        <v>703</v>
      </c>
      <c r="W253" s="21">
        <v>41.887599999999999</v>
      </c>
    </row>
    <row r="254" spans="2:23" x14ac:dyDescent="0.3">
      <c r="B254" s="21">
        <v>3860</v>
      </c>
      <c r="C254" s="21">
        <v>0.75</v>
      </c>
      <c r="D254" s="21">
        <v>0.15</v>
      </c>
      <c r="E254" s="21">
        <v>1262.1648</v>
      </c>
      <c r="F254" s="21">
        <v>703</v>
      </c>
      <c r="G254" s="21">
        <v>42.443800000000003</v>
      </c>
      <c r="J254" s="21">
        <v>3860</v>
      </c>
      <c r="K254" s="21">
        <v>0.75</v>
      </c>
      <c r="L254" s="21">
        <v>0.15</v>
      </c>
      <c r="M254" s="21">
        <v>1281.3166000000001</v>
      </c>
      <c r="N254" s="21">
        <v>703</v>
      </c>
      <c r="O254" s="21">
        <v>43.158200000000001</v>
      </c>
      <c r="R254" s="21">
        <v>3860</v>
      </c>
      <c r="S254" s="21">
        <v>0.75</v>
      </c>
      <c r="T254" s="21">
        <v>0.15</v>
      </c>
      <c r="U254" s="21">
        <v>1283.5174</v>
      </c>
      <c r="V254" s="21">
        <v>703</v>
      </c>
      <c r="W254" s="21">
        <v>43.243699999999997</v>
      </c>
    </row>
    <row r="255" spans="2:23" x14ac:dyDescent="0.3">
      <c r="B255" s="21">
        <v>4060</v>
      </c>
      <c r="C255" s="21">
        <v>0.75</v>
      </c>
      <c r="D255" s="21">
        <v>0.15</v>
      </c>
      <c r="E255" s="21">
        <v>1295.3678</v>
      </c>
      <c r="F255" s="21">
        <v>703</v>
      </c>
      <c r="G255" s="21">
        <v>43.715899999999998</v>
      </c>
      <c r="J255" s="21">
        <v>4060</v>
      </c>
      <c r="K255" s="21">
        <v>0.75</v>
      </c>
      <c r="L255" s="21">
        <v>0.15</v>
      </c>
      <c r="M255" s="21">
        <v>1314.1984</v>
      </c>
      <c r="N255" s="21">
        <v>703</v>
      </c>
      <c r="O255" s="21">
        <v>44.507399999999997</v>
      </c>
      <c r="R255" s="21">
        <v>4060</v>
      </c>
      <c r="S255" s="21">
        <v>0.75</v>
      </c>
      <c r="T255" s="21">
        <v>0.15</v>
      </c>
      <c r="U255" s="21">
        <v>1316.3829000000001</v>
      </c>
      <c r="V255" s="21">
        <v>703</v>
      </c>
      <c r="W255" s="21">
        <v>44.602499999999999</v>
      </c>
    </row>
    <row r="256" spans="2:23" x14ac:dyDescent="0.3">
      <c r="B256" s="21">
        <v>4260</v>
      </c>
      <c r="C256" s="21">
        <v>0.75</v>
      </c>
      <c r="D256" s="21">
        <v>0.15</v>
      </c>
      <c r="E256" s="21">
        <v>1324.4854</v>
      </c>
      <c r="F256" s="21">
        <v>703</v>
      </c>
      <c r="G256" s="21">
        <v>44.960900000000002</v>
      </c>
      <c r="J256" s="21">
        <v>4260</v>
      </c>
      <c r="K256" s="21">
        <v>0.75</v>
      </c>
      <c r="L256" s="21">
        <v>0.15</v>
      </c>
      <c r="M256" s="21">
        <v>1342.9380000000001</v>
      </c>
      <c r="N256" s="21">
        <v>703</v>
      </c>
      <c r="O256" s="21">
        <v>45.811</v>
      </c>
      <c r="R256" s="21">
        <v>4260</v>
      </c>
      <c r="S256" s="21">
        <v>0.75</v>
      </c>
      <c r="T256" s="21">
        <v>0.15</v>
      </c>
      <c r="U256" s="21">
        <v>1345.0979</v>
      </c>
      <c r="V256" s="21">
        <v>703</v>
      </c>
      <c r="W256" s="21">
        <v>45.913499999999999</v>
      </c>
    </row>
    <row r="257" spans="2:23" x14ac:dyDescent="0.3">
      <c r="B257" s="21">
        <v>4460</v>
      </c>
      <c r="C257" s="21">
        <v>0.75</v>
      </c>
      <c r="D257" s="21">
        <v>0.15</v>
      </c>
      <c r="E257" s="21">
        <v>1349.8782000000001</v>
      </c>
      <c r="F257" s="21">
        <v>703</v>
      </c>
      <c r="G257" s="21">
        <v>46.142699999999998</v>
      </c>
      <c r="J257" s="21">
        <v>4460</v>
      </c>
      <c r="K257" s="21">
        <v>0.75</v>
      </c>
      <c r="L257" s="21">
        <v>0.15</v>
      </c>
      <c r="M257" s="21">
        <v>1367.9206999999999</v>
      </c>
      <c r="N257" s="21">
        <v>703</v>
      </c>
      <c r="O257" s="21">
        <v>47.035600000000002</v>
      </c>
      <c r="R257" s="21">
        <v>4460</v>
      </c>
      <c r="S257" s="21">
        <v>0.75</v>
      </c>
      <c r="T257" s="21">
        <v>0.15</v>
      </c>
      <c r="U257" s="21">
        <v>1370.0346999999999</v>
      </c>
      <c r="V257" s="21">
        <v>703</v>
      </c>
      <c r="W257" s="21">
        <v>47.143099999999997</v>
      </c>
    </row>
    <row r="258" spans="2:23" x14ac:dyDescent="0.3">
      <c r="B258" s="21">
        <v>4660</v>
      </c>
      <c r="C258" s="21">
        <v>0.75</v>
      </c>
      <c r="D258" s="21">
        <v>0.15</v>
      </c>
      <c r="E258" s="21">
        <v>1371.922</v>
      </c>
      <c r="F258" s="21">
        <v>703</v>
      </c>
      <c r="G258" s="21">
        <v>47.2395</v>
      </c>
      <c r="J258" s="21">
        <v>4660</v>
      </c>
      <c r="K258" s="21">
        <v>0.75</v>
      </c>
      <c r="L258" s="21">
        <v>0.15</v>
      </c>
      <c r="M258" s="21">
        <v>1389.4956</v>
      </c>
      <c r="N258" s="21">
        <v>703</v>
      </c>
      <c r="O258" s="21">
        <v>48.159799999999997</v>
      </c>
      <c r="R258" s="21">
        <v>4660</v>
      </c>
      <c r="S258" s="21">
        <v>0.75</v>
      </c>
      <c r="T258" s="21">
        <v>0.15</v>
      </c>
      <c r="U258" s="21">
        <v>1391.5705</v>
      </c>
      <c r="V258" s="21">
        <v>703</v>
      </c>
      <c r="W258" s="21">
        <v>48.271099999999997</v>
      </c>
    </row>
    <row r="259" spans="2:23" x14ac:dyDescent="0.3">
      <c r="B259" s="21">
        <v>4860</v>
      </c>
      <c r="C259" s="21">
        <v>0.75</v>
      </c>
      <c r="D259" s="21">
        <v>0.15</v>
      </c>
      <c r="E259" s="21">
        <v>1390.9324999999999</v>
      </c>
      <c r="F259" s="21">
        <v>703</v>
      </c>
      <c r="G259" s="21">
        <v>48.236800000000002</v>
      </c>
      <c r="J259" s="21">
        <v>4860</v>
      </c>
      <c r="K259" s="21">
        <v>0.75</v>
      </c>
      <c r="L259" s="21">
        <v>0.15</v>
      </c>
      <c r="M259" s="21">
        <v>1408.0518</v>
      </c>
      <c r="N259" s="21">
        <v>703</v>
      </c>
      <c r="O259" s="21">
        <v>49.174700000000001</v>
      </c>
      <c r="R259" s="21">
        <v>4860</v>
      </c>
      <c r="S259" s="21">
        <v>0.75</v>
      </c>
      <c r="T259" s="21">
        <v>0.15</v>
      </c>
      <c r="U259" s="21">
        <v>1410.0730000000001</v>
      </c>
      <c r="V259" s="21">
        <v>703</v>
      </c>
      <c r="W259" s="21">
        <v>49.287799999999997</v>
      </c>
    </row>
    <row r="260" spans="2:23" x14ac:dyDescent="0.3">
      <c r="B260" s="21">
        <v>4980</v>
      </c>
      <c r="C260" s="21">
        <v>0.75</v>
      </c>
      <c r="D260" s="21">
        <v>0.15</v>
      </c>
      <c r="E260" s="21">
        <v>1401.3477</v>
      </c>
      <c r="F260" s="21">
        <v>703</v>
      </c>
      <c r="G260" s="21">
        <v>48.802999999999997</v>
      </c>
      <c r="J260" s="21">
        <v>4980</v>
      </c>
      <c r="K260" s="21">
        <v>0.75</v>
      </c>
      <c r="L260" s="21">
        <v>0.15</v>
      </c>
      <c r="M260" s="21">
        <v>1418.1773000000001</v>
      </c>
      <c r="N260" s="21">
        <v>703</v>
      </c>
      <c r="O260" s="21">
        <v>49.746699999999997</v>
      </c>
      <c r="R260" s="21">
        <v>4980</v>
      </c>
      <c r="S260" s="21">
        <v>0.75</v>
      </c>
      <c r="T260" s="21">
        <v>0.15</v>
      </c>
      <c r="U260" s="21">
        <v>1420.1626000000001</v>
      </c>
      <c r="V260" s="21">
        <v>703</v>
      </c>
      <c r="W260" s="21">
        <v>49.860399999999998</v>
      </c>
    </row>
    <row r="261" spans="2:23" x14ac:dyDescent="0.3">
      <c r="B261" s="21">
        <v>5180</v>
      </c>
      <c r="C261" s="21">
        <v>0.75</v>
      </c>
      <c r="D261" s="21">
        <v>0.15</v>
      </c>
      <c r="E261" s="21">
        <v>1417.3014000000001</v>
      </c>
      <c r="F261" s="21">
        <v>703</v>
      </c>
      <c r="G261" s="21">
        <v>49.6967</v>
      </c>
      <c r="J261" s="21">
        <v>5180</v>
      </c>
      <c r="K261" s="21">
        <v>0.75</v>
      </c>
      <c r="L261" s="21">
        <v>0.15</v>
      </c>
      <c r="M261" s="21">
        <v>1433.7699</v>
      </c>
      <c r="N261" s="21">
        <v>703</v>
      </c>
      <c r="O261" s="21">
        <v>50.652200000000001</v>
      </c>
      <c r="R261" s="21">
        <v>5180</v>
      </c>
      <c r="S261" s="21">
        <v>0.75</v>
      </c>
      <c r="T261" s="21">
        <v>0.15</v>
      </c>
      <c r="U261" s="21">
        <v>1435.7138</v>
      </c>
      <c r="V261" s="21">
        <v>703</v>
      </c>
      <c r="W261" s="21">
        <v>50.767200000000003</v>
      </c>
    </row>
    <row r="262" spans="2:23" x14ac:dyDescent="0.3">
      <c r="B262" s="21">
        <v>5380</v>
      </c>
      <c r="C262" s="21">
        <v>0.75</v>
      </c>
      <c r="D262" s="21">
        <v>0.15</v>
      </c>
      <c r="E262" s="21">
        <v>1430.9223</v>
      </c>
      <c r="F262" s="21">
        <v>703</v>
      </c>
      <c r="G262" s="21">
        <v>50.484699999999997</v>
      </c>
      <c r="J262" s="21">
        <v>5380</v>
      </c>
      <c r="K262" s="21">
        <v>0.75</v>
      </c>
      <c r="L262" s="21">
        <v>0.15</v>
      </c>
      <c r="M262" s="21">
        <v>1446.9422</v>
      </c>
      <c r="N262" s="21">
        <v>703</v>
      </c>
      <c r="O262" s="21">
        <v>51.44</v>
      </c>
      <c r="R262" s="21">
        <v>5380</v>
      </c>
      <c r="S262" s="21">
        <v>0.75</v>
      </c>
      <c r="T262" s="21">
        <v>0.15</v>
      </c>
      <c r="U262" s="21">
        <v>1448.8391999999999</v>
      </c>
      <c r="V262" s="21">
        <v>703</v>
      </c>
      <c r="W262" s="21">
        <v>51.555100000000003</v>
      </c>
    </row>
    <row r="263" spans="2:23" x14ac:dyDescent="0.3">
      <c r="B263" s="21">
        <v>5580</v>
      </c>
      <c r="C263" s="21">
        <v>0.75</v>
      </c>
      <c r="D263" s="21">
        <v>0.15</v>
      </c>
      <c r="E263" s="21">
        <v>1442.2881</v>
      </c>
      <c r="F263" s="21">
        <v>703</v>
      </c>
      <c r="G263" s="21">
        <v>51.159300000000002</v>
      </c>
      <c r="J263" s="21">
        <v>5580</v>
      </c>
      <c r="K263" s="21">
        <v>0.75</v>
      </c>
      <c r="L263" s="21">
        <v>0.15</v>
      </c>
      <c r="M263" s="21">
        <v>1457.8662999999999</v>
      </c>
      <c r="N263" s="21">
        <v>703</v>
      </c>
      <c r="O263" s="21">
        <v>52.108699999999999</v>
      </c>
      <c r="R263" s="21">
        <v>5580</v>
      </c>
      <c r="S263" s="21">
        <v>0.75</v>
      </c>
      <c r="T263" s="21">
        <v>0.15</v>
      </c>
      <c r="U263" s="21">
        <v>1459.7191</v>
      </c>
      <c r="V263" s="21">
        <v>703</v>
      </c>
      <c r="W263" s="21">
        <v>52.223500000000001</v>
      </c>
    </row>
    <row r="264" spans="2:23" x14ac:dyDescent="0.3">
      <c r="B264" s="21">
        <v>5780</v>
      </c>
      <c r="C264" s="21">
        <v>0.75</v>
      </c>
      <c r="D264" s="21">
        <v>0.15</v>
      </c>
      <c r="E264" s="21">
        <v>1451.7802999999999</v>
      </c>
      <c r="F264" s="21">
        <v>703</v>
      </c>
      <c r="G264" s="21">
        <v>51.734400000000001</v>
      </c>
      <c r="J264" s="21">
        <v>5780</v>
      </c>
      <c r="K264" s="21">
        <v>0.75</v>
      </c>
      <c r="L264" s="21">
        <v>0.15</v>
      </c>
      <c r="M264" s="21">
        <v>1466.9546</v>
      </c>
      <c r="N264" s="21">
        <v>703</v>
      </c>
      <c r="O264" s="21">
        <v>52.6755</v>
      </c>
      <c r="R264" s="21">
        <v>5780</v>
      </c>
      <c r="S264" s="21">
        <v>0.75</v>
      </c>
      <c r="T264" s="21">
        <v>0.15</v>
      </c>
      <c r="U264" s="21">
        <v>1468.7545</v>
      </c>
      <c r="V264" s="21">
        <v>703</v>
      </c>
      <c r="W264" s="21">
        <v>52.788899999999998</v>
      </c>
    </row>
    <row r="265" spans="2:23" x14ac:dyDescent="0.3">
      <c r="B265" s="21">
        <v>5980</v>
      </c>
      <c r="C265" s="21">
        <v>0.75</v>
      </c>
      <c r="D265" s="21">
        <v>0.15</v>
      </c>
      <c r="E265" s="21">
        <v>1459.7584999999999</v>
      </c>
      <c r="F265" s="21">
        <v>703</v>
      </c>
      <c r="G265" s="21">
        <v>52.225999999999999</v>
      </c>
      <c r="J265" s="21">
        <v>5980</v>
      </c>
      <c r="K265" s="21">
        <v>0.75</v>
      </c>
      <c r="L265" s="21">
        <v>0.15</v>
      </c>
      <c r="M265" s="21">
        <v>1474.5364999999999</v>
      </c>
      <c r="N265" s="21">
        <v>703</v>
      </c>
      <c r="O265" s="21">
        <v>53.155500000000004</v>
      </c>
      <c r="R265" s="21">
        <v>5980</v>
      </c>
      <c r="S265" s="21">
        <v>0.75</v>
      </c>
      <c r="T265" s="21">
        <v>0.15</v>
      </c>
      <c r="U265" s="21">
        <v>1476.2936</v>
      </c>
      <c r="V265" s="21">
        <v>703</v>
      </c>
      <c r="W265" s="21">
        <v>53.267600000000002</v>
      </c>
    </row>
    <row r="266" spans="2:23" x14ac:dyDescent="0.3">
      <c r="B266" s="21">
        <v>6180</v>
      </c>
      <c r="C266" s="21">
        <v>0.75</v>
      </c>
      <c r="D266" s="21">
        <v>0.15</v>
      </c>
      <c r="E266" s="21">
        <v>1466.4609</v>
      </c>
      <c r="F266" s="21">
        <v>703</v>
      </c>
      <c r="G266" s="21">
        <v>52.644500000000001</v>
      </c>
      <c r="J266" s="21">
        <v>6180</v>
      </c>
      <c r="K266" s="21">
        <v>0.75</v>
      </c>
      <c r="L266" s="21">
        <v>0.15</v>
      </c>
      <c r="M266" s="21">
        <v>1480.8844999999999</v>
      </c>
      <c r="N266" s="21">
        <v>703</v>
      </c>
      <c r="O266" s="21">
        <v>53.562199999999997</v>
      </c>
      <c r="R266" s="21">
        <v>6180</v>
      </c>
      <c r="S266" s="21">
        <v>0.75</v>
      </c>
      <c r="T266" s="21">
        <v>0.15</v>
      </c>
      <c r="U266" s="21">
        <v>1482.5996</v>
      </c>
      <c r="V266" s="21">
        <v>703</v>
      </c>
      <c r="W266" s="21">
        <v>53.672899999999998</v>
      </c>
    </row>
    <row r="267" spans="2:23" x14ac:dyDescent="0.3">
      <c r="B267" s="21">
        <v>6380</v>
      </c>
      <c r="C267" s="21">
        <v>0.75</v>
      </c>
      <c r="D267" s="21">
        <v>0.15</v>
      </c>
      <c r="E267" s="21">
        <v>1472.0988</v>
      </c>
      <c r="F267" s="21">
        <v>703</v>
      </c>
      <c r="G267" s="21">
        <v>53.000500000000002</v>
      </c>
      <c r="J267" s="21">
        <v>6380</v>
      </c>
      <c r="K267" s="21">
        <v>0.75</v>
      </c>
      <c r="L267" s="21">
        <v>0.15</v>
      </c>
      <c r="M267" s="21">
        <v>1486.2</v>
      </c>
      <c r="N267" s="21">
        <v>703</v>
      </c>
      <c r="O267" s="21">
        <v>53.906199999999998</v>
      </c>
      <c r="R267" s="21">
        <v>6380</v>
      </c>
      <c r="S267" s="21">
        <v>0.75</v>
      </c>
      <c r="T267" s="21">
        <v>0.15</v>
      </c>
      <c r="U267" s="21">
        <v>1487.8864000000001</v>
      </c>
      <c r="V267" s="21">
        <v>703</v>
      </c>
      <c r="W267" s="21">
        <v>54.015999999999998</v>
      </c>
    </row>
    <row r="268" spans="2:23" x14ac:dyDescent="0.3">
      <c r="B268" s="21">
        <v>6580</v>
      </c>
      <c r="C268" s="21">
        <v>0.75</v>
      </c>
      <c r="D268" s="21">
        <v>0.15</v>
      </c>
      <c r="E268" s="21">
        <v>1476.8411000000001</v>
      </c>
      <c r="F268" s="21">
        <v>703</v>
      </c>
      <c r="G268" s="21">
        <v>53.302599999999998</v>
      </c>
      <c r="J268" s="21">
        <v>6580</v>
      </c>
      <c r="K268" s="21">
        <v>0.75</v>
      </c>
      <c r="L268" s="21">
        <v>0.15</v>
      </c>
      <c r="M268" s="21">
        <v>1490.6676</v>
      </c>
      <c r="N268" s="21">
        <v>703</v>
      </c>
      <c r="O268" s="21">
        <v>54.197699999999998</v>
      </c>
      <c r="R268" s="21">
        <v>6580</v>
      </c>
      <c r="S268" s="21">
        <v>0.75</v>
      </c>
      <c r="T268" s="21">
        <v>0.15</v>
      </c>
      <c r="U268" s="21">
        <v>1492.3240000000001</v>
      </c>
      <c r="V268" s="21">
        <v>703</v>
      </c>
      <c r="W268" s="21">
        <v>54.3063</v>
      </c>
    </row>
    <row r="269" spans="2:23" x14ac:dyDescent="0.3">
      <c r="B269" s="21">
        <v>6780</v>
      </c>
      <c r="C269" s="21">
        <v>0.75</v>
      </c>
      <c r="D269" s="21">
        <v>0.15</v>
      </c>
      <c r="E269" s="21">
        <v>1480.8495</v>
      </c>
      <c r="F269" s="21">
        <v>703</v>
      </c>
      <c r="G269" s="21">
        <v>53.56</v>
      </c>
      <c r="J269" s="21">
        <v>6780</v>
      </c>
      <c r="K269" s="21">
        <v>0.75</v>
      </c>
      <c r="L269" s="21">
        <v>0.15</v>
      </c>
      <c r="M269" s="21">
        <v>1494.4278999999999</v>
      </c>
      <c r="N269" s="21">
        <v>703</v>
      </c>
      <c r="O269" s="21">
        <v>54.444699999999997</v>
      </c>
      <c r="R269" s="21">
        <v>6780</v>
      </c>
      <c r="S269" s="21">
        <v>0.75</v>
      </c>
      <c r="T269" s="21">
        <v>0.15</v>
      </c>
      <c r="U269" s="21">
        <v>1496.0526</v>
      </c>
      <c r="V269" s="21">
        <v>703</v>
      </c>
      <c r="W269" s="21">
        <v>54.5518</v>
      </c>
    </row>
    <row r="270" spans="2:23" x14ac:dyDescent="0.3">
      <c r="B270" s="21">
        <v>6980</v>
      </c>
      <c r="C270" s="21">
        <v>0.75</v>
      </c>
      <c r="D270" s="21">
        <v>0.15</v>
      </c>
      <c r="E270" s="21">
        <v>1484.2293</v>
      </c>
      <c r="F270" s="21">
        <v>703</v>
      </c>
      <c r="G270" s="21">
        <v>53.778300000000002</v>
      </c>
      <c r="J270" s="21">
        <v>6980</v>
      </c>
      <c r="K270" s="21">
        <v>0.75</v>
      </c>
      <c r="L270" s="21">
        <v>0.15</v>
      </c>
      <c r="M270" s="21">
        <v>1497.5835</v>
      </c>
      <c r="N270" s="21">
        <v>703</v>
      </c>
      <c r="O270" s="21">
        <v>54.653100000000002</v>
      </c>
      <c r="R270" s="21">
        <v>6980</v>
      </c>
      <c r="S270" s="21">
        <v>0.75</v>
      </c>
      <c r="T270" s="21">
        <v>0.15</v>
      </c>
      <c r="U270" s="21">
        <v>1499.1859999999999</v>
      </c>
      <c r="V270" s="21">
        <v>703</v>
      </c>
      <c r="W270" s="21">
        <v>54.759300000000003</v>
      </c>
    </row>
    <row r="271" spans="2:23" x14ac:dyDescent="0.3">
      <c r="B271" s="21">
        <v>7180</v>
      </c>
      <c r="C271" s="21">
        <v>0.75</v>
      </c>
      <c r="D271" s="21">
        <v>0.15</v>
      </c>
      <c r="E271" s="21">
        <v>1487.0708999999999</v>
      </c>
      <c r="F271" s="21">
        <v>703</v>
      </c>
      <c r="G271" s="21">
        <v>53.962899999999998</v>
      </c>
      <c r="J271" s="21">
        <v>7180</v>
      </c>
      <c r="K271" s="21">
        <v>0.75</v>
      </c>
      <c r="L271" s="21">
        <v>0.15</v>
      </c>
      <c r="M271" s="21">
        <v>1500.2419</v>
      </c>
      <c r="N271" s="21">
        <v>703</v>
      </c>
      <c r="O271" s="21">
        <v>54.829500000000003</v>
      </c>
      <c r="R271" s="21">
        <v>7180</v>
      </c>
      <c r="S271" s="21">
        <v>0.75</v>
      </c>
      <c r="T271" s="21">
        <v>0.15</v>
      </c>
      <c r="U271" s="21">
        <v>1501.8206</v>
      </c>
      <c r="V271" s="21">
        <v>703</v>
      </c>
      <c r="W271" s="21">
        <v>54.934600000000003</v>
      </c>
    </row>
    <row r="272" spans="2:23" x14ac:dyDescent="0.3">
      <c r="B272" s="21">
        <v>7380</v>
      </c>
      <c r="C272" s="21">
        <v>0.75</v>
      </c>
      <c r="D272" s="21">
        <v>0.15</v>
      </c>
      <c r="E272" s="21">
        <v>1489.4690000000001</v>
      </c>
      <c r="F272" s="21">
        <v>703</v>
      </c>
      <c r="G272" s="21">
        <v>54.119300000000003</v>
      </c>
      <c r="J272" s="21">
        <v>7380</v>
      </c>
      <c r="K272" s="21">
        <v>0.75</v>
      </c>
      <c r="L272" s="21">
        <v>0.15</v>
      </c>
      <c r="M272" s="21">
        <v>1502.4716000000001</v>
      </c>
      <c r="N272" s="21">
        <v>703</v>
      </c>
      <c r="O272" s="21">
        <v>54.978000000000002</v>
      </c>
      <c r="R272" s="21">
        <v>7380</v>
      </c>
      <c r="S272" s="21">
        <v>0.75</v>
      </c>
      <c r="T272" s="21">
        <v>0.15</v>
      </c>
      <c r="U272" s="21">
        <v>1504.0351000000001</v>
      </c>
      <c r="V272" s="21">
        <v>703</v>
      </c>
      <c r="W272" s="21">
        <v>55.0824</v>
      </c>
    </row>
    <row r="273" spans="2:23" x14ac:dyDescent="0.3">
      <c r="B273" s="21">
        <v>7580</v>
      </c>
      <c r="C273" s="21">
        <v>0.75</v>
      </c>
      <c r="D273" s="21">
        <v>0.15</v>
      </c>
      <c r="E273" s="21">
        <v>1491.5028</v>
      </c>
      <c r="F273" s="21">
        <v>703</v>
      </c>
      <c r="G273" s="21">
        <v>54.252400000000002</v>
      </c>
      <c r="J273" s="21">
        <v>7580</v>
      </c>
      <c r="K273" s="21">
        <v>0.75</v>
      </c>
      <c r="L273" s="21">
        <v>0.15</v>
      </c>
      <c r="M273" s="21">
        <v>1504.3524</v>
      </c>
      <c r="N273" s="21">
        <v>703</v>
      </c>
      <c r="O273" s="21">
        <v>55.1036</v>
      </c>
      <c r="R273" s="21">
        <v>7580</v>
      </c>
      <c r="S273" s="21">
        <v>0.75</v>
      </c>
      <c r="T273" s="21">
        <v>0.15</v>
      </c>
      <c r="U273" s="21">
        <v>1505.8972000000001</v>
      </c>
      <c r="V273" s="21">
        <v>703</v>
      </c>
      <c r="W273" s="21">
        <v>55.207099999999997</v>
      </c>
    </row>
    <row r="274" spans="2:23" x14ac:dyDescent="0.3">
      <c r="B274" s="21">
        <v>7780</v>
      </c>
      <c r="C274" s="21">
        <v>0.75</v>
      </c>
      <c r="D274" s="21">
        <v>0.15</v>
      </c>
      <c r="E274" s="21">
        <v>1493.2185999999999</v>
      </c>
      <c r="F274" s="21">
        <v>703</v>
      </c>
      <c r="G274" s="21">
        <v>54.365099999999998</v>
      </c>
      <c r="J274" s="21">
        <v>7780</v>
      </c>
      <c r="K274" s="21">
        <v>0.75</v>
      </c>
      <c r="L274" s="21">
        <v>0.15</v>
      </c>
      <c r="M274" s="21">
        <v>1505.9272000000001</v>
      </c>
      <c r="N274" s="21">
        <v>703</v>
      </c>
      <c r="O274" s="21">
        <v>55.209099999999999</v>
      </c>
      <c r="R274" s="21">
        <v>7780</v>
      </c>
      <c r="S274" s="21">
        <v>0.75</v>
      </c>
      <c r="T274" s="21">
        <v>0.15</v>
      </c>
      <c r="U274" s="21">
        <v>1507.4621999999999</v>
      </c>
      <c r="V274" s="21">
        <v>703</v>
      </c>
      <c r="W274" s="21">
        <v>55.312199999999997</v>
      </c>
    </row>
    <row r="275" spans="2:23" x14ac:dyDescent="0.3">
      <c r="B275" s="21">
        <v>7980</v>
      </c>
      <c r="C275" s="21">
        <v>0.75</v>
      </c>
      <c r="D275" s="21">
        <v>0.15</v>
      </c>
      <c r="E275" s="21">
        <v>1494.6501000000001</v>
      </c>
      <c r="F275" s="21">
        <v>703</v>
      </c>
      <c r="G275" s="21">
        <v>54.459299999999999</v>
      </c>
      <c r="J275" s="21">
        <v>7980</v>
      </c>
      <c r="K275" s="21">
        <v>0.75</v>
      </c>
      <c r="L275" s="21">
        <v>0.15</v>
      </c>
      <c r="M275" s="21">
        <v>1507.2546</v>
      </c>
      <c r="N275" s="21">
        <v>703</v>
      </c>
      <c r="O275" s="21">
        <v>55.298299999999998</v>
      </c>
      <c r="R275" s="21">
        <v>7980</v>
      </c>
      <c r="S275" s="21">
        <v>0.75</v>
      </c>
      <c r="T275" s="21">
        <v>0.15</v>
      </c>
      <c r="U275" s="21">
        <v>1508.7781</v>
      </c>
      <c r="V275" s="21">
        <v>703</v>
      </c>
      <c r="W275" s="21">
        <v>55.400799999999997</v>
      </c>
    </row>
    <row r="276" spans="2:23" x14ac:dyDescent="0.3">
      <c r="B276" s="21">
        <v>8180</v>
      </c>
      <c r="C276" s="21">
        <v>0.75</v>
      </c>
      <c r="D276" s="21">
        <v>0.15</v>
      </c>
      <c r="E276" s="21">
        <v>1495.8762999999999</v>
      </c>
      <c r="F276" s="21">
        <v>703</v>
      </c>
      <c r="G276" s="21">
        <v>54.540199999999999</v>
      </c>
      <c r="J276" s="21">
        <v>8180</v>
      </c>
      <c r="K276" s="21">
        <v>0.75</v>
      </c>
      <c r="L276" s="21">
        <v>0.15</v>
      </c>
      <c r="M276" s="21">
        <v>1508.3742999999999</v>
      </c>
      <c r="N276" s="21">
        <v>703</v>
      </c>
      <c r="O276" s="21">
        <v>55.373600000000003</v>
      </c>
      <c r="R276" s="21">
        <v>8180</v>
      </c>
      <c r="S276" s="21">
        <v>0.75</v>
      </c>
      <c r="T276" s="21">
        <v>0.15</v>
      </c>
      <c r="U276" s="21">
        <v>1509.8837000000001</v>
      </c>
      <c r="V276" s="21">
        <v>703</v>
      </c>
      <c r="W276" s="21">
        <v>55.475299999999997</v>
      </c>
    </row>
    <row r="277" spans="2:23" x14ac:dyDescent="0.3">
      <c r="B277" s="21">
        <v>8380</v>
      </c>
      <c r="C277" s="21">
        <v>0.75</v>
      </c>
      <c r="D277" s="21">
        <v>0.15</v>
      </c>
      <c r="E277" s="21">
        <v>1496.8927000000001</v>
      </c>
      <c r="F277" s="21">
        <v>703</v>
      </c>
      <c r="G277" s="21">
        <v>54.607399999999998</v>
      </c>
      <c r="J277" s="21">
        <v>8380</v>
      </c>
      <c r="K277" s="21">
        <v>0.75</v>
      </c>
      <c r="L277" s="21">
        <v>0.15</v>
      </c>
      <c r="M277" s="21">
        <v>1509.3171</v>
      </c>
      <c r="N277" s="21">
        <v>703</v>
      </c>
      <c r="O277" s="21">
        <v>55.437100000000001</v>
      </c>
      <c r="R277" s="21">
        <v>8380</v>
      </c>
      <c r="S277" s="21">
        <v>0.75</v>
      </c>
      <c r="T277" s="21">
        <v>0.15</v>
      </c>
      <c r="U277" s="21">
        <v>1510.8133</v>
      </c>
      <c r="V277" s="21">
        <v>703</v>
      </c>
      <c r="W277" s="21">
        <v>55.5381</v>
      </c>
    </row>
    <row r="278" spans="2:23" x14ac:dyDescent="0.3">
      <c r="B278" s="21">
        <v>8400</v>
      </c>
      <c r="C278" s="21">
        <v>0.75</v>
      </c>
      <c r="D278" s="21">
        <v>0.15</v>
      </c>
      <c r="E278" s="21">
        <v>1496.9999</v>
      </c>
      <c r="F278" s="21">
        <v>703</v>
      </c>
      <c r="G278" s="21">
        <v>54.614400000000003</v>
      </c>
      <c r="J278" s="21">
        <v>8400</v>
      </c>
      <c r="K278" s="21">
        <v>0.75</v>
      </c>
      <c r="L278" s="21">
        <v>0.15</v>
      </c>
      <c r="M278" s="21">
        <v>1509.4156</v>
      </c>
      <c r="N278" s="21">
        <v>703</v>
      </c>
      <c r="O278" s="21">
        <v>55.443800000000003</v>
      </c>
      <c r="R278" s="21">
        <v>8400</v>
      </c>
      <c r="S278" s="21">
        <v>0.75</v>
      </c>
      <c r="T278" s="21">
        <v>0.15</v>
      </c>
      <c r="U278" s="21">
        <v>1510.9060999999999</v>
      </c>
      <c r="V278" s="21">
        <v>703</v>
      </c>
      <c r="W278" s="21">
        <v>55.544400000000003</v>
      </c>
    </row>
    <row r="279" spans="2:23" x14ac:dyDescent="0.3">
      <c r="B279" s="21">
        <v>8600</v>
      </c>
      <c r="C279" s="21">
        <v>0.75</v>
      </c>
      <c r="D279" s="21">
        <v>0.15</v>
      </c>
      <c r="E279" s="21">
        <v>1489.6638</v>
      </c>
      <c r="F279" s="21">
        <v>703</v>
      </c>
      <c r="G279" s="21">
        <v>54.131999999999998</v>
      </c>
      <c r="J279" s="21">
        <v>8600</v>
      </c>
      <c r="K279" s="21">
        <v>0.75</v>
      </c>
      <c r="L279" s="21">
        <v>0.15</v>
      </c>
      <c r="M279" s="21">
        <v>1498.6181999999999</v>
      </c>
      <c r="N279" s="21">
        <v>703</v>
      </c>
      <c r="O279" s="21">
        <v>54.721600000000002</v>
      </c>
      <c r="R279" s="21">
        <v>8600</v>
      </c>
      <c r="S279" s="21">
        <v>0.75</v>
      </c>
      <c r="T279" s="21">
        <v>0.15</v>
      </c>
      <c r="U279" s="21">
        <v>1499.6578999999999</v>
      </c>
      <c r="V279" s="21">
        <v>703</v>
      </c>
      <c r="W279" s="21">
        <v>54.790599999999998</v>
      </c>
    </row>
    <row r="280" spans="2:23" x14ac:dyDescent="0.3">
      <c r="B280" s="21">
        <v>8800</v>
      </c>
      <c r="C280" s="21">
        <v>0.75</v>
      </c>
      <c r="D280" s="21">
        <v>0.15</v>
      </c>
      <c r="E280" s="21">
        <v>1481.8196</v>
      </c>
      <c r="F280" s="21">
        <v>703</v>
      </c>
      <c r="G280" s="21">
        <v>53.622500000000002</v>
      </c>
      <c r="J280" s="21">
        <v>8800</v>
      </c>
      <c r="K280" s="21">
        <v>0.75</v>
      </c>
      <c r="L280" s="21">
        <v>0.15</v>
      </c>
      <c r="M280" s="21">
        <v>1487.7029</v>
      </c>
      <c r="N280" s="21">
        <v>703</v>
      </c>
      <c r="O280" s="21">
        <v>54.003999999999998</v>
      </c>
      <c r="R280" s="21">
        <v>8800</v>
      </c>
      <c r="S280" s="21">
        <v>0.75</v>
      </c>
      <c r="T280" s="21">
        <v>0.15</v>
      </c>
      <c r="U280" s="21">
        <v>1488.3502000000001</v>
      </c>
      <c r="V280" s="21">
        <v>703</v>
      </c>
      <c r="W280" s="21">
        <v>54.046199999999999</v>
      </c>
    </row>
    <row r="281" spans="2:23" x14ac:dyDescent="0.3">
      <c r="B281" s="21">
        <v>9000</v>
      </c>
      <c r="C281" s="21">
        <v>0.75</v>
      </c>
      <c r="D281" s="21">
        <v>0.15</v>
      </c>
      <c r="E281" s="21">
        <v>1475.0645999999999</v>
      </c>
      <c r="F281" s="21">
        <v>703</v>
      </c>
      <c r="G281" s="21">
        <v>53.189100000000003</v>
      </c>
      <c r="J281" s="21">
        <v>9000</v>
      </c>
      <c r="K281" s="21">
        <v>0.75</v>
      </c>
      <c r="L281" s="21">
        <v>0.15</v>
      </c>
      <c r="M281" s="21">
        <v>1478.2528</v>
      </c>
      <c r="N281" s="21">
        <v>703</v>
      </c>
      <c r="O281" s="21">
        <v>53.393099999999997</v>
      </c>
      <c r="R281" s="21">
        <v>9000</v>
      </c>
      <c r="S281" s="21">
        <v>0.75</v>
      </c>
      <c r="T281" s="21">
        <v>0.15</v>
      </c>
      <c r="U281" s="21">
        <v>1478.5596</v>
      </c>
      <c r="V281" s="21">
        <v>703</v>
      </c>
      <c r="W281" s="21">
        <v>53.412700000000001</v>
      </c>
    </row>
    <row r="282" spans="2:23" x14ac:dyDescent="0.3">
      <c r="B282" s="21">
        <v>9200</v>
      </c>
      <c r="C282" s="21">
        <v>0.75</v>
      </c>
      <c r="D282" s="21">
        <v>0.15</v>
      </c>
      <c r="E282" s="21">
        <v>1469.2754</v>
      </c>
      <c r="F282" s="21">
        <v>703</v>
      </c>
      <c r="G282" s="21">
        <v>52.8217</v>
      </c>
      <c r="J282" s="21">
        <v>9200</v>
      </c>
      <c r="K282" s="21">
        <v>0.75</v>
      </c>
      <c r="L282" s="21">
        <v>0.15</v>
      </c>
      <c r="M282" s="21">
        <v>1470.1265000000001</v>
      </c>
      <c r="N282" s="21">
        <v>703</v>
      </c>
      <c r="O282" s="21">
        <v>52.875500000000002</v>
      </c>
      <c r="R282" s="21">
        <v>9200</v>
      </c>
      <c r="S282" s="21">
        <v>0.75</v>
      </c>
      <c r="T282" s="21">
        <v>0.15</v>
      </c>
      <c r="U282" s="21">
        <v>1470.1409000000001</v>
      </c>
      <c r="V282" s="21">
        <v>703</v>
      </c>
      <c r="W282" s="21">
        <v>52.876399999999997</v>
      </c>
    </row>
    <row r="283" spans="2:23" x14ac:dyDescent="0.3">
      <c r="B283" s="21">
        <v>9400</v>
      </c>
      <c r="C283" s="21">
        <v>0.75</v>
      </c>
      <c r="D283" s="21">
        <v>0.15</v>
      </c>
      <c r="E283" s="21">
        <v>1464.3090999999999</v>
      </c>
      <c r="F283" s="21">
        <v>703</v>
      </c>
      <c r="G283" s="21">
        <v>52.509599999999999</v>
      </c>
      <c r="J283" s="21">
        <v>9400</v>
      </c>
      <c r="K283" s="21">
        <v>0.75</v>
      </c>
      <c r="L283" s="21">
        <v>0.15</v>
      </c>
      <c r="M283" s="21">
        <v>1463.1121000000001</v>
      </c>
      <c r="N283" s="21">
        <v>703</v>
      </c>
      <c r="O283" s="21">
        <v>52.434699999999999</v>
      </c>
      <c r="R283" s="21">
        <v>9400</v>
      </c>
      <c r="S283" s="21">
        <v>0.75</v>
      </c>
      <c r="T283" s="21">
        <v>0.15</v>
      </c>
      <c r="U283" s="21">
        <v>1462.8788</v>
      </c>
      <c r="V283" s="21">
        <v>703</v>
      </c>
      <c r="W283" s="21">
        <v>52.420200000000001</v>
      </c>
    </row>
    <row r="284" spans="2:23" x14ac:dyDescent="0.3">
      <c r="B284" s="21">
        <v>9600</v>
      </c>
      <c r="C284" s="21">
        <v>0.75</v>
      </c>
      <c r="D284" s="21">
        <v>0.15</v>
      </c>
      <c r="E284" s="21">
        <v>1460.0229999999999</v>
      </c>
      <c r="F284" s="21">
        <v>703</v>
      </c>
      <c r="G284" s="21">
        <v>52.242400000000004</v>
      </c>
      <c r="J284" s="21">
        <v>9600</v>
      </c>
      <c r="K284" s="21">
        <v>0.75</v>
      </c>
      <c r="L284" s="21">
        <v>0.15</v>
      </c>
      <c r="M284" s="21">
        <v>1457.0614</v>
      </c>
      <c r="N284" s="21">
        <v>703</v>
      </c>
      <c r="O284" s="21">
        <v>52.058999999999997</v>
      </c>
      <c r="R284" s="21">
        <v>9600</v>
      </c>
      <c r="S284" s="21">
        <v>0.75</v>
      </c>
      <c r="T284" s="21">
        <v>0.15</v>
      </c>
      <c r="U284" s="21">
        <v>1456.617</v>
      </c>
      <c r="V284" s="21">
        <v>703</v>
      </c>
      <c r="W284" s="21">
        <v>52.031500000000001</v>
      </c>
    </row>
    <row r="285" spans="2:23" x14ac:dyDescent="0.3">
      <c r="B285" s="21">
        <v>9800</v>
      </c>
      <c r="C285" s="21">
        <v>0.75</v>
      </c>
      <c r="D285" s="21">
        <v>0.15</v>
      </c>
      <c r="E285" s="21">
        <v>1456.3522</v>
      </c>
      <c r="F285" s="21">
        <v>703</v>
      </c>
      <c r="G285" s="21">
        <v>52.0152</v>
      </c>
      <c r="J285" s="21">
        <v>9800</v>
      </c>
      <c r="K285" s="21">
        <v>0.75</v>
      </c>
      <c r="L285" s="21">
        <v>0.15</v>
      </c>
      <c r="M285" s="21">
        <v>1451.8541</v>
      </c>
      <c r="N285" s="21">
        <v>703</v>
      </c>
      <c r="O285" s="21">
        <v>51.738999999999997</v>
      </c>
      <c r="R285" s="21">
        <v>9800</v>
      </c>
      <c r="S285" s="21">
        <v>0.75</v>
      </c>
      <c r="T285" s="21">
        <v>0.15</v>
      </c>
      <c r="U285" s="21">
        <v>1451.2268999999999</v>
      </c>
      <c r="V285" s="21">
        <v>703</v>
      </c>
      <c r="W285" s="21">
        <v>51.700600000000001</v>
      </c>
    </row>
    <row r="286" spans="2:23" x14ac:dyDescent="0.3">
      <c r="B286" s="21">
        <v>10000</v>
      </c>
      <c r="C286" s="21">
        <v>0.75</v>
      </c>
      <c r="D286" s="21">
        <v>0.15</v>
      </c>
      <c r="E286" s="21">
        <v>1453.1892</v>
      </c>
      <c r="F286" s="21">
        <v>703</v>
      </c>
      <c r="G286" s="21">
        <v>51.820700000000002</v>
      </c>
      <c r="J286" s="21">
        <v>10000</v>
      </c>
      <c r="K286" s="21">
        <v>0.75</v>
      </c>
      <c r="L286" s="21">
        <v>0.15</v>
      </c>
      <c r="M286" s="21">
        <v>1447.3838000000001</v>
      </c>
      <c r="N286" s="21">
        <v>703</v>
      </c>
      <c r="O286" s="21">
        <v>51.466799999999999</v>
      </c>
      <c r="R286" s="21">
        <v>10000</v>
      </c>
      <c r="S286" s="21">
        <v>0.75</v>
      </c>
      <c r="T286" s="21">
        <v>0.15</v>
      </c>
      <c r="U286" s="21">
        <v>1446.6016999999999</v>
      </c>
      <c r="V286" s="21">
        <v>703</v>
      </c>
      <c r="W286" s="21">
        <v>51.419400000000003</v>
      </c>
    </row>
    <row r="287" spans="2:23" x14ac:dyDescent="0.3">
      <c r="B287" s="21">
        <v>10200</v>
      </c>
      <c r="C287" s="21">
        <v>0.75</v>
      </c>
      <c r="D287" s="21">
        <v>0.15</v>
      </c>
      <c r="E287" s="21">
        <v>1450.4885999999999</v>
      </c>
      <c r="F287" s="21">
        <v>703</v>
      </c>
      <c r="G287" s="21">
        <v>51.6556</v>
      </c>
      <c r="J287" s="21">
        <v>10200</v>
      </c>
      <c r="K287" s="21">
        <v>0.75</v>
      </c>
      <c r="L287" s="21">
        <v>0.15</v>
      </c>
      <c r="M287" s="21">
        <v>1443.5552</v>
      </c>
      <c r="N287" s="21">
        <v>703</v>
      </c>
      <c r="O287" s="21">
        <v>51.235500000000002</v>
      </c>
      <c r="R287" s="21">
        <v>10200</v>
      </c>
      <c r="S287" s="21">
        <v>0.75</v>
      </c>
      <c r="T287" s="21">
        <v>0.15</v>
      </c>
      <c r="U287" s="21">
        <v>1442.6351</v>
      </c>
      <c r="V287" s="21">
        <v>703</v>
      </c>
      <c r="W287" s="21">
        <v>51.180199999999999</v>
      </c>
    </row>
    <row r="288" spans="2:23" x14ac:dyDescent="0.3">
      <c r="B288" s="21">
        <v>10400</v>
      </c>
      <c r="C288" s="21">
        <v>0.75</v>
      </c>
      <c r="D288" s="21">
        <v>0.15</v>
      </c>
      <c r="E288" s="21">
        <v>1448.1815999999999</v>
      </c>
      <c r="F288" s="21">
        <v>703</v>
      </c>
      <c r="G288" s="21">
        <v>51.5152</v>
      </c>
      <c r="J288" s="21">
        <v>10400</v>
      </c>
      <c r="K288" s="21">
        <v>0.75</v>
      </c>
      <c r="L288" s="21">
        <v>0.15</v>
      </c>
      <c r="M288" s="21">
        <v>1440.2702999999999</v>
      </c>
      <c r="N288" s="21">
        <v>703</v>
      </c>
      <c r="O288" s="21">
        <v>51.038400000000003</v>
      </c>
      <c r="R288" s="21">
        <v>10400</v>
      </c>
      <c r="S288" s="21">
        <v>0.75</v>
      </c>
      <c r="T288" s="21">
        <v>0.15</v>
      </c>
      <c r="U288" s="21">
        <v>1439.2370000000001</v>
      </c>
      <c r="V288" s="21">
        <v>703</v>
      </c>
      <c r="W288" s="21">
        <v>50.976700000000001</v>
      </c>
    </row>
    <row r="289" spans="2:23" x14ac:dyDescent="0.3">
      <c r="B289" s="21">
        <v>10600</v>
      </c>
      <c r="C289" s="21">
        <v>0.75</v>
      </c>
      <c r="D289" s="21">
        <v>0.15</v>
      </c>
      <c r="E289" s="21">
        <v>1446.2055</v>
      </c>
      <c r="F289" s="21">
        <v>703</v>
      </c>
      <c r="G289" s="21">
        <v>51.395400000000002</v>
      </c>
      <c r="J289" s="21">
        <v>10600</v>
      </c>
      <c r="K289" s="21">
        <v>0.75</v>
      </c>
      <c r="L289" s="21">
        <v>0.15</v>
      </c>
      <c r="M289" s="21">
        <v>1437.4539</v>
      </c>
      <c r="N289" s="21">
        <v>703</v>
      </c>
      <c r="O289" s="21">
        <v>50.8705</v>
      </c>
      <c r="R289" s="21">
        <v>10600</v>
      </c>
      <c r="S289" s="21">
        <v>0.75</v>
      </c>
      <c r="T289" s="21">
        <v>0.15</v>
      </c>
      <c r="U289" s="21">
        <v>1436.3289</v>
      </c>
      <c r="V289" s="21">
        <v>703</v>
      </c>
      <c r="W289" s="21">
        <v>50.803699999999999</v>
      </c>
    </row>
    <row r="290" spans="2:23" x14ac:dyDescent="0.3">
      <c r="B290" s="21">
        <v>10800</v>
      </c>
      <c r="C290" s="21">
        <v>0.75</v>
      </c>
      <c r="D290" s="21">
        <v>0.15</v>
      </c>
      <c r="E290" s="21">
        <v>1444.5316</v>
      </c>
      <c r="F290" s="21">
        <v>703</v>
      </c>
      <c r="G290" s="21">
        <v>51.2943</v>
      </c>
      <c r="J290" s="21">
        <v>10800</v>
      </c>
      <c r="K290" s="21">
        <v>0.75</v>
      </c>
      <c r="L290" s="21">
        <v>0.15</v>
      </c>
      <c r="M290" s="21">
        <v>1435.0544</v>
      </c>
      <c r="N290" s="21">
        <v>703</v>
      </c>
      <c r="O290" s="21">
        <v>50.728200000000001</v>
      </c>
      <c r="R290" s="21">
        <v>10800</v>
      </c>
      <c r="S290" s="21">
        <v>0.75</v>
      </c>
      <c r="T290" s="21">
        <v>0.15</v>
      </c>
      <c r="U290" s="21">
        <v>1433.8409999999999</v>
      </c>
      <c r="V290" s="21">
        <v>703</v>
      </c>
      <c r="W290" s="21">
        <v>50.656399999999998</v>
      </c>
    </row>
    <row r="291" spans="2:23" x14ac:dyDescent="0.3">
      <c r="B291" s="21">
        <v>11000</v>
      </c>
      <c r="C291" s="21">
        <v>0.75</v>
      </c>
      <c r="D291" s="21">
        <v>0.15</v>
      </c>
      <c r="E291" s="21">
        <v>1443.0822000000001</v>
      </c>
      <c r="F291" s="21">
        <v>703</v>
      </c>
      <c r="G291" s="21">
        <v>51.207000000000001</v>
      </c>
      <c r="J291" s="21">
        <v>11000</v>
      </c>
      <c r="K291" s="21">
        <v>0.75</v>
      </c>
      <c r="L291" s="21">
        <v>0.15</v>
      </c>
      <c r="M291" s="21">
        <v>1433.001</v>
      </c>
      <c r="N291" s="21">
        <v>703</v>
      </c>
      <c r="O291" s="21">
        <v>50.606900000000003</v>
      </c>
      <c r="R291" s="21">
        <v>11000</v>
      </c>
      <c r="S291" s="21">
        <v>0.75</v>
      </c>
      <c r="T291" s="21">
        <v>0.15</v>
      </c>
      <c r="U291" s="21">
        <v>1431.7138</v>
      </c>
      <c r="V291" s="21">
        <v>703</v>
      </c>
      <c r="W291" s="21">
        <v>50.531199999999998</v>
      </c>
    </row>
    <row r="292" spans="2:23" x14ac:dyDescent="0.3">
      <c r="B292" s="21">
        <v>11200</v>
      </c>
      <c r="C292" s="21">
        <v>0.75</v>
      </c>
      <c r="D292" s="21">
        <v>0.15</v>
      </c>
      <c r="E292" s="21">
        <v>1441.8643999999999</v>
      </c>
      <c r="F292" s="21">
        <v>703</v>
      </c>
      <c r="G292" s="21">
        <v>51.133899999999997</v>
      </c>
      <c r="J292" s="21">
        <v>11200</v>
      </c>
      <c r="K292" s="21">
        <v>0.75</v>
      </c>
      <c r="L292" s="21">
        <v>0.15</v>
      </c>
      <c r="M292" s="21">
        <v>1431.2438999999999</v>
      </c>
      <c r="N292" s="21">
        <v>703</v>
      </c>
      <c r="O292" s="21">
        <v>50.503599999999999</v>
      </c>
      <c r="R292" s="21">
        <v>11200</v>
      </c>
      <c r="S292" s="21">
        <v>0.75</v>
      </c>
      <c r="T292" s="21">
        <v>0.15</v>
      </c>
      <c r="U292" s="21">
        <v>1429.8946000000001</v>
      </c>
      <c r="V292" s="21">
        <v>703</v>
      </c>
      <c r="W292" s="21">
        <v>50.424399999999999</v>
      </c>
    </row>
    <row r="293" spans="2:23" x14ac:dyDescent="0.3">
      <c r="B293" s="21">
        <v>11400</v>
      </c>
      <c r="C293" s="21">
        <v>0.75</v>
      </c>
      <c r="D293" s="21">
        <v>0.15</v>
      </c>
      <c r="E293" s="21">
        <v>1440.8083999999999</v>
      </c>
      <c r="F293" s="21">
        <v>703</v>
      </c>
      <c r="G293" s="21">
        <v>51.070599999999999</v>
      </c>
      <c r="J293" s="21">
        <v>11400</v>
      </c>
      <c r="K293" s="21">
        <v>0.75</v>
      </c>
      <c r="L293" s="21">
        <v>0.15</v>
      </c>
      <c r="M293" s="21">
        <v>1429.7425000000001</v>
      </c>
      <c r="N293" s="21">
        <v>703</v>
      </c>
      <c r="O293" s="21">
        <v>50.415500000000002</v>
      </c>
      <c r="R293" s="21">
        <v>11400</v>
      </c>
      <c r="S293" s="21">
        <v>0.75</v>
      </c>
      <c r="T293" s="21">
        <v>0.15</v>
      </c>
      <c r="U293" s="21">
        <v>1428.3393000000001</v>
      </c>
      <c r="V293" s="21">
        <v>703</v>
      </c>
      <c r="W293" s="21">
        <v>50.333500000000001</v>
      </c>
    </row>
    <row r="294" spans="2:23" x14ac:dyDescent="0.3">
      <c r="B294" s="21">
        <v>11600</v>
      </c>
      <c r="C294" s="21">
        <v>0.75</v>
      </c>
      <c r="D294" s="21">
        <v>0.15</v>
      </c>
      <c r="E294" s="21">
        <v>1439.9285</v>
      </c>
      <c r="F294" s="21">
        <v>703</v>
      </c>
      <c r="G294" s="21">
        <v>51.018000000000001</v>
      </c>
      <c r="J294" s="21">
        <v>11600</v>
      </c>
      <c r="K294" s="21">
        <v>0.75</v>
      </c>
      <c r="L294" s="21">
        <v>0.15</v>
      </c>
      <c r="M294" s="21">
        <v>1428.4595999999999</v>
      </c>
      <c r="N294" s="21">
        <v>703</v>
      </c>
      <c r="O294" s="21">
        <v>50.340499999999999</v>
      </c>
      <c r="R294" s="21">
        <v>11600</v>
      </c>
      <c r="S294" s="21">
        <v>0.75</v>
      </c>
      <c r="T294" s="21">
        <v>0.15</v>
      </c>
      <c r="U294" s="21">
        <v>1427.0041000000001</v>
      </c>
      <c r="V294" s="21">
        <v>703</v>
      </c>
      <c r="W294" s="21">
        <v>50.255699999999997</v>
      </c>
    </row>
    <row r="295" spans="2:23" x14ac:dyDescent="0.3">
      <c r="B295" s="21">
        <v>11800</v>
      </c>
      <c r="C295" s="21">
        <v>0.75</v>
      </c>
      <c r="D295" s="21">
        <v>0.15</v>
      </c>
      <c r="E295" s="21">
        <v>1439.1608000000001</v>
      </c>
      <c r="F295" s="21">
        <v>703</v>
      </c>
      <c r="G295" s="21">
        <v>50.972200000000001</v>
      </c>
      <c r="J295" s="21">
        <v>11800</v>
      </c>
      <c r="K295" s="21">
        <v>0.75</v>
      </c>
      <c r="L295" s="21">
        <v>0.15</v>
      </c>
      <c r="M295" s="21">
        <v>1427.3524</v>
      </c>
      <c r="N295" s="21">
        <v>703</v>
      </c>
      <c r="O295" s="21">
        <v>50.276000000000003</v>
      </c>
      <c r="R295" s="21">
        <v>11800</v>
      </c>
      <c r="S295" s="21">
        <v>0.75</v>
      </c>
      <c r="T295" s="21">
        <v>0.15</v>
      </c>
      <c r="U295" s="21">
        <v>1425.8620000000001</v>
      </c>
      <c r="V295" s="21">
        <v>703</v>
      </c>
      <c r="W295" s="21">
        <v>50.189300000000003</v>
      </c>
    </row>
    <row r="296" spans="2:23" x14ac:dyDescent="0.3">
      <c r="B296" s="21">
        <v>12000</v>
      </c>
      <c r="C296" s="21">
        <v>0.75</v>
      </c>
      <c r="D296" s="21">
        <v>0.15</v>
      </c>
      <c r="E296" s="21">
        <v>1438.5247999999999</v>
      </c>
      <c r="F296" s="21">
        <v>703</v>
      </c>
      <c r="G296" s="21">
        <v>50.934199999999997</v>
      </c>
      <c r="J296" s="21">
        <v>12000</v>
      </c>
      <c r="K296" s="21">
        <v>0.75</v>
      </c>
      <c r="L296" s="21">
        <v>0.15</v>
      </c>
      <c r="M296" s="21">
        <v>1426.4096999999999</v>
      </c>
      <c r="N296" s="21">
        <v>703</v>
      </c>
      <c r="O296" s="21">
        <v>50.2211</v>
      </c>
      <c r="R296" s="21">
        <v>12000</v>
      </c>
      <c r="S296" s="21">
        <v>0.75</v>
      </c>
      <c r="T296" s="21">
        <v>0.15</v>
      </c>
      <c r="U296" s="21">
        <v>1424.8856000000001</v>
      </c>
      <c r="V296" s="21">
        <v>703</v>
      </c>
      <c r="W296" s="21">
        <v>50.1327</v>
      </c>
    </row>
    <row r="297" spans="2:23" x14ac:dyDescent="0.3">
      <c r="B297" s="21">
        <v>12200</v>
      </c>
      <c r="C297" s="21">
        <v>0.75</v>
      </c>
      <c r="D297" s="21">
        <v>0.15</v>
      </c>
      <c r="E297" s="21">
        <v>1437.9606000000001</v>
      </c>
      <c r="F297" s="21">
        <v>703</v>
      </c>
      <c r="G297" s="21">
        <v>50.900599999999997</v>
      </c>
      <c r="J297" s="21">
        <v>12200</v>
      </c>
      <c r="K297" s="21">
        <v>0.75</v>
      </c>
      <c r="L297" s="21">
        <v>0.15</v>
      </c>
      <c r="M297" s="21">
        <v>1425.6079999999999</v>
      </c>
      <c r="N297" s="21">
        <v>703</v>
      </c>
      <c r="O297" s="21">
        <v>50.174599999999998</v>
      </c>
      <c r="R297" s="21">
        <v>12200</v>
      </c>
      <c r="S297" s="21">
        <v>0.75</v>
      </c>
      <c r="T297" s="21">
        <v>0.15</v>
      </c>
      <c r="U297" s="21">
        <v>1424.0500999999999</v>
      </c>
      <c r="V297" s="21">
        <v>703</v>
      </c>
      <c r="W297" s="21">
        <v>50.084299999999999</v>
      </c>
    </row>
    <row r="298" spans="2:23" x14ac:dyDescent="0.3">
      <c r="B298" s="21">
        <v>12400</v>
      </c>
      <c r="C298" s="21">
        <v>0.75</v>
      </c>
      <c r="D298" s="21">
        <v>0.15</v>
      </c>
      <c r="E298" s="21">
        <v>1437.4919</v>
      </c>
      <c r="F298" s="21">
        <v>703</v>
      </c>
      <c r="G298" s="21">
        <v>50.872700000000002</v>
      </c>
      <c r="J298" s="21">
        <v>12400</v>
      </c>
      <c r="K298" s="21">
        <v>0.75</v>
      </c>
      <c r="L298" s="21">
        <v>0.15</v>
      </c>
      <c r="M298" s="21">
        <v>1424.9159999999999</v>
      </c>
      <c r="N298" s="21">
        <v>703</v>
      </c>
      <c r="O298" s="21">
        <v>50.134399999999999</v>
      </c>
      <c r="R298" s="21">
        <v>12400</v>
      </c>
      <c r="S298" s="21">
        <v>0.75</v>
      </c>
      <c r="T298" s="21">
        <v>0.15</v>
      </c>
      <c r="U298" s="21">
        <v>1423.3358000000001</v>
      </c>
      <c r="V298" s="21">
        <v>703</v>
      </c>
      <c r="W298" s="21">
        <v>50.042999999999999</v>
      </c>
    </row>
    <row r="299" spans="2:23" x14ac:dyDescent="0.3">
      <c r="B299" s="21">
        <v>12600</v>
      </c>
      <c r="C299" s="21">
        <v>0.75</v>
      </c>
      <c r="D299" s="21">
        <v>0.15</v>
      </c>
      <c r="E299" s="21">
        <v>1437.087</v>
      </c>
      <c r="F299" s="21">
        <v>703</v>
      </c>
      <c r="G299" s="21">
        <v>50.848700000000001</v>
      </c>
      <c r="J299" s="21">
        <v>12600</v>
      </c>
      <c r="K299" s="21">
        <v>0.75</v>
      </c>
      <c r="L299" s="21">
        <v>0.15</v>
      </c>
      <c r="M299" s="21">
        <v>1424.3190999999999</v>
      </c>
      <c r="N299" s="21">
        <v>703</v>
      </c>
      <c r="O299" s="21">
        <v>50.099899999999998</v>
      </c>
      <c r="R299" s="21">
        <v>12600</v>
      </c>
      <c r="S299" s="21">
        <v>0.75</v>
      </c>
      <c r="T299" s="21">
        <v>0.15</v>
      </c>
      <c r="U299" s="21">
        <v>1422.7246</v>
      </c>
      <c r="V299" s="21">
        <v>703</v>
      </c>
      <c r="W299" s="21">
        <v>50.0077</v>
      </c>
    </row>
    <row r="300" spans="2:23" x14ac:dyDescent="0.3">
      <c r="B300" s="21">
        <v>12800</v>
      </c>
      <c r="C300" s="21">
        <v>0.75</v>
      </c>
      <c r="D300" s="21">
        <v>0.15</v>
      </c>
      <c r="E300" s="21">
        <v>1436.7436</v>
      </c>
      <c r="F300" s="21">
        <v>703</v>
      </c>
      <c r="G300" s="21">
        <v>50.828299999999999</v>
      </c>
      <c r="J300" s="21">
        <v>12800</v>
      </c>
      <c r="K300" s="21">
        <v>0.75</v>
      </c>
      <c r="L300" s="21">
        <v>0.15</v>
      </c>
      <c r="M300" s="21">
        <v>1423.8181999999999</v>
      </c>
      <c r="N300" s="21">
        <v>703</v>
      </c>
      <c r="O300" s="21">
        <v>50.070900000000002</v>
      </c>
      <c r="R300" s="21">
        <v>12800</v>
      </c>
      <c r="S300" s="21">
        <v>0.75</v>
      </c>
      <c r="T300" s="21">
        <v>0.15</v>
      </c>
      <c r="U300" s="21">
        <v>1422.2021999999999</v>
      </c>
      <c r="V300" s="21">
        <v>703</v>
      </c>
      <c r="W300" s="21">
        <v>49.977600000000002</v>
      </c>
    </row>
    <row r="301" spans="2:23" x14ac:dyDescent="0.3">
      <c r="B301" s="21">
        <v>13000</v>
      </c>
      <c r="C301" s="21">
        <v>0.75</v>
      </c>
      <c r="D301" s="21">
        <v>0.15</v>
      </c>
      <c r="E301" s="21">
        <v>1436.4594</v>
      </c>
      <c r="F301" s="21">
        <v>703</v>
      </c>
      <c r="G301" s="21">
        <v>50.811399999999999</v>
      </c>
      <c r="J301" s="21">
        <v>13000</v>
      </c>
      <c r="K301" s="21">
        <v>0.75</v>
      </c>
      <c r="L301" s="21">
        <v>0.15</v>
      </c>
      <c r="M301" s="21">
        <v>1423.3882000000001</v>
      </c>
      <c r="N301" s="21">
        <v>703</v>
      </c>
      <c r="O301" s="21">
        <v>50.045999999999999</v>
      </c>
      <c r="R301" s="21">
        <v>13000</v>
      </c>
      <c r="S301" s="21">
        <v>0.75</v>
      </c>
      <c r="T301" s="21">
        <v>0.15</v>
      </c>
      <c r="U301" s="21">
        <v>1421.7552000000001</v>
      </c>
      <c r="V301" s="21">
        <v>703</v>
      </c>
      <c r="W301" s="21">
        <v>49.951900000000002</v>
      </c>
    </row>
    <row r="302" spans="2:23" x14ac:dyDescent="0.3">
      <c r="B302" s="21">
        <v>13200</v>
      </c>
      <c r="C302" s="21">
        <v>0.75</v>
      </c>
      <c r="D302" s="21">
        <v>0.15</v>
      </c>
      <c r="E302" s="21">
        <v>1436.2052000000001</v>
      </c>
      <c r="F302" s="21">
        <v>703</v>
      </c>
      <c r="G302" s="21">
        <v>50.796300000000002</v>
      </c>
      <c r="J302" s="21">
        <v>13200</v>
      </c>
      <c r="K302" s="21">
        <v>0.75</v>
      </c>
      <c r="L302" s="21">
        <v>0.15</v>
      </c>
      <c r="M302" s="21">
        <v>1423.0204000000001</v>
      </c>
      <c r="N302" s="21">
        <v>703</v>
      </c>
      <c r="O302" s="21">
        <v>50.024799999999999</v>
      </c>
      <c r="R302" s="21">
        <v>13200</v>
      </c>
      <c r="S302" s="21">
        <v>0.75</v>
      </c>
      <c r="T302" s="21">
        <v>0.15</v>
      </c>
      <c r="U302" s="21">
        <v>1421.3674000000001</v>
      </c>
      <c r="V302" s="21">
        <v>703</v>
      </c>
      <c r="W302" s="21">
        <v>49.929600000000001</v>
      </c>
    </row>
    <row r="303" spans="2:23" x14ac:dyDescent="0.3">
      <c r="B303" s="21">
        <v>13400</v>
      </c>
      <c r="C303" s="21">
        <v>0.75</v>
      </c>
      <c r="D303" s="21">
        <v>0.15</v>
      </c>
      <c r="E303" s="21">
        <v>1436.0079000000001</v>
      </c>
      <c r="F303" s="21">
        <v>703</v>
      </c>
      <c r="G303" s="21">
        <v>50.784599999999998</v>
      </c>
      <c r="J303" s="21">
        <v>13400</v>
      </c>
      <c r="K303" s="21">
        <v>0.75</v>
      </c>
      <c r="L303" s="21">
        <v>0.15</v>
      </c>
      <c r="M303" s="21">
        <v>1422.6939</v>
      </c>
      <c r="N303" s="21">
        <v>703</v>
      </c>
      <c r="O303" s="21">
        <v>50.006</v>
      </c>
      <c r="R303" s="21">
        <v>13400</v>
      </c>
      <c r="S303" s="21">
        <v>0.75</v>
      </c>
      <c r="T303" s="21">
        <v>0.15</v>
      </c>
      <c r="U303" s="21">
        <v>1421.0363</v>
      </c>
      <c r="V303" s="21">
        <v>703</v>
      </c>
      <c r="W303" s="21">
        <v>49.910499999999999</v>
      </c>
    </row>
    <row r="304" spans="2:23" x14ac:dyDescent="0.3">
      <c r="B304" s="21">
        <v>13600</v>
      </c>
      <c r="C304" s="21">
        <v>0.75</v>
      </c>
      <c r="D304" s="21">
        <v>0.15</v>
      </c>
      <c r="E304" s="21">
        <v>1435.8126999999999</v>
      </c>
      <c r="F304" s="21">
        <v>703</v>
      </c>
      <c r="G304" s="21">
        <v>50.773099999999999</v>
      </c>
      <c r="J304" s="21">
        <v>13600</v>
      </c>
      <c r="K304" s="21">
        <v>0.75</v>
      </c>
      <c r="L304" s="21">
        <v>0.15</v>
      </c>
      <c r="M304" s="21">
        <v>1422.4173000000001</v>
      </c>
      <c r="N304" s="21">
        <v>703</v>
      </c>
      <c r="O304" s="21">
        <v>49.99</v>
      </c>
      <c r="R304" s="21">
        <v>13600</v>
      </c>
      <c r="S304" s="21">
        <v>0.75</v>
      </c>
      <c r="T304" s="21">
        <v>0.15</v>
      </c>
      <c r="U304" s="21">
        <v>1420.7529999999999</v>
      </c>
      <c r="V304" s="21">
        <v>703</v>
      </c>
      <c r="W304" s="21">
        <v>49.894300000000001</v>
      </c>
    </row>
    <row r="305" spans="2:23" x14ac:dyDescent="0.3">
      <c r="B305" s="21">
        <v>13800</v>
      </c>
      <c r="C305" s="21">
        <v>0.75</v>
      </c>
      <c r="D305" s="21">
        <v>0.15</v>
      </c>
      <c r="E305" s="21">
        <v>1435.673</v>
      </c>
      <c r="F305" s="21">
        <v>703</v>
      </c>
      <c r="G305" s="21">
        <v>50.764800000000001</v>
      </c>
      <c r="J305" s="21">
        <v>13800</v>
      </c>
      <c r="K305" s="21">
        <v>0.75</v>
      </c>
      <c r="L305" s="21">
        <v>0.15</v>
      </c>
      <c r="M305" s="21">
        <v>1422.1851999999999</v>
      </c>
      <c r="N305" s="21">
        <v>703</v>
      </c>
      <c r="O305" s="21">
        <v>49.976599999999998</v>
      </c>
      <c r="R305" s="21">
        <v>13800</v>
      </c>
      <c r="S305" s="21">
        <v>0.75</v>
      </c>
      <c r="T305" s="21">
        <v>0.15</v>
      </c>
      <c r="U305" s="21">
        <v>1420.5117</v>
      </c>
      <c r="V305" s="21">
        <v>703</v>
      </c>
      <c r="W305" s="21">
        <v>49.880400000000002</v>
      </c>
    </row>
    <row r="306" spans="2:23" x14ac:dyDescent="0.3">
      <c r="B306" s="21">
        <v>14000</v>
      </c>
      <c r="C306" s="21">
        <v>0.75</v>
      </c>
      <c r="D306" s="21">
        <v>0.15</v>
      </c>
      <c r="E306" s="21">
        <v>1435.5343</v>
      </c>
      <c r="F306" s="21">
        <v>703</v>
      </c>
      <c r="G306" s="21">
        <v>50.756599999999999</v>
      </c>
      <c r="J306" s="21">
        <v>14000</v>
      </c>
      <c r="K306" s="21">
        <v>0.75</v>
      </c>
      <c r="L306" s="21">
        <v>0.15</v>
      </c>
      <c r="M306" s="21">
        <v>1421.9811999999999</v>
      </c>
      <c r="N306" s="21">
        <v>703</v>
      </c>
      <c r="O306" s="21">
        <v>49.9649</v>
      </c>
      <c r="R306" s="21">
        <v>14000</v>
      </c>
      <c r="S306" s="21">
        <v>0.75</v>
      </c>
      <c r="T306" s="21">
        <v>0.15</v>
      </c>
      <c r="U306" s="21">
        <v>1420.3058000000001</v>
      </c>
      <c r="V306" s="21">
        <v>703</v>
      </c>
      <c r="W306" s="21">
        <v>49.868600000000001</v>
      </c>
    </row>
    <row r="307" spans="2:23" x14ac:dyDescent="0.3">
      <c r="B307" s="21">
        <v>14200</v>
      </c>
      <c r="C307" s="21">
        <v>0.75</v>
      </c>
      <c r="D307" s="21">
        <v>0.15</v>
      </c>
      <c r="E307" s="21">
        <v>1435.4245000000001</v>
      </c>
      <c r="F307" s="21">
        <v>703</v>
      </c>
      <c r="G307" s="21">
        <v>50.750100000000003</v>
      </c>
      <c r="J307" s="21">
        <v>14200</v>
      </c>
      <c r="K307" s="21">
        <v>0.75</v>
      </c>
      <c r="L307" s="21">
        <v>0.15</v>
      </c>
      <c r="M307" s="21">
        <v>1421.8010999999999</v>
      </c>
      <c r="N307" s="21">
        <v>703</v>
      </c>
      <c r="O307" s="21">
        <v>49.954500000000003</v>
      </c>
      <c r="R307" s="21">
        <v>14200</v>
      </c>
      <c r="S307" s="21">
        <v>0.75</v>
      </c>
      <c r="T307" s="21">
        <v>0.15</v>
      </c>
      <c r="U307" s="21">
        <v>1420.1248000000001</v>
      </c>
      <c r="V307" s="21">
        <v>703</v>
      </c>
      <c r="W307" s="21">
        <v>49.858199999999997</v>
      </c>
    </row>
    <row r="308" spans="2:23" x14ac:dyDescent="0.3">
      <c r="B308" s="21">
        <v>14400</v>
      </c>
      <c r="C308" s="21">
        <v>0.75</v>
      </c>
      <c r="D308" s="21">
        <v>0.15</v>
      </c>
      <c r="E308" s="21">
        <v>1435.3412000000001</v>
      </c>
      <c r="F308" s="21">
        <v>703</v>
      </c>
      <c r="G308" s="21">
        <v>50.745100000000001</v>
      </c>
      <c r="J308" s="21">
        <v>14400</v>
      </c>
      <c r="K308" s="21">
        <v>0.75</v>
      </c>
      <c r="L308" s="21">
        <v>0.15</v>
      </c>
      <c r="M308" s="21">
        <v>1421.6559999999999</v>
      </c>
      <c r="N308" s="21">
        <v>703</v>
      </c>
      <c r="O308" s="21">
        <v>49.946199999999997</v>
      </c>
      <c r="R308" s="21">
        <v>14400</v>
      </c>
      <c r="S308" s="21">
        <v>0.75</v>
      </c>
      <c r="T308" s="21">
        <v>0.15</v>
      </c>
      <c r="U308" s="21">
        <v>1419.9712</v>
      </c>
      <c r="V308" s="21">
        <v>703</v>
      </c>
      <c r="W308" s="21">
        <v>49.849400000000003</v>
      </c>
    </row>
    <row r="309" spans="2:23" x14ac:dyDescent="0.3">
      <c r="B309" s="21">
        <v>14600</v>
      </c>
      <c r="C309" s="21">
        <v>0.75</v>
      </c>
      <c r="D309" s="21">
        <v>0.15</v>
      </c>
      <c r="E309" s="21">
        <v>1435.2583</v>
      </c>
      <c r="F309" s="21">
        <v>703</v>
      </c>
      <c r="G309" s="21">
        <v>50.740200000000002</v>
      </c>
      <c r="J309" s="21">
        <v>14600</v>
      </c>
      <c r="K309" s="21">
        <v>0.75</v>
      </c>
      <c r="L309" s="21">
        <v>0.15</v>
      </c>
      <c r="M309" s="21">
        <v>1421.5311999999999</v>
      </c>
      <c r="N309" s="21">
        <v>703</v>
      </c>
      <c r="O309" s="21">
        <v>49.939</v>
      </c>
      <c r="R309" s="21">
        <v>14600</v>
      </c>
      <c r="S309" s="21">
        <v>0.75</v>
      </c>
      <c r="T309" s="21">
        <v>0.15</v>
      </c>
      <c r="U309" s="21">
        <v>1419.8407</v>
      </c>
      <c r="V309" s="21">
        <v>703</v>
      </c>
      <c r="W309" s="21">
        <v>49.841900000000003</v>
      </c>
    </row>
    <row r="310" spans="2:23" x14ac:dyDescent="0.3">
      <c r="B310" s="21">
        <v>14800</v>
      </c>
      <c r="C310" s="21">
        <v>0.75</v>
      </c>
      <c r="D310" s="21">
        <v>0.15</v>
      </c>
      <c r="E310" s="21">
        <v>1435.1758</v>
      </c>
      <c r="F310" s="21">
        <v>703</v>
      </c>
      <c r="G310" s="21">
        <v>50.735300000000002</v>
      </c>
      <c r="J310" s="21">
        <v>14800</v>
      </c>
      <c r="K310" s="21">
        <v>0.75</v>
      </c>
      <c r="L310" s="21">
        <v>0.15</v>
      </c>
      <c r="M310" s="21">
        <v>1421.4238</v>
      </c>
      <c r="N310" s="21">
        <v>703</v>
      </c>
      <c r="O310" s="21">
        <v>49.9328</v>
      </c>
      <c r="R310" s="21">
        <v>14800</v>
      </c>
      <c r="S310" s="21">
        <v>0.75</v>
      </c>
      <c r="T310" s="21">
        <v>0.15</v>
      </c>
      <c r="U310" s="21">
        <v>1419.7248</v>
      </c>
      <c r="V310" s="21">
        <v>703</v>
      </c>
      <c r="W310" s="21">
        <v>49.835299999999997</v>
      </c>
    </row>
    <row r="311" spans="2:23" x14ac:dyDescent="0.3">
      <c r="B311" s="21">
        <v>15000</v>
      </c>
      <c r="C311" s="21">
        <v>0.75</v>
      </c>
      <c r="D311" s="21">
        <v>0.15</v>
      </c>
      <c r="E311" s="21">
        <v>1435.1214</v>
      </c>
      <c r="F311" s="21">
        <v>703</v>
      </c>
      <c r="G311" s="21">
        <v>50.732100000000003</v>
      </c>
      <c r="J311" s="21">
        <v>15000</v>
      </c>
      <c r="K311" s="21">
        <v>0.75</v>
      </c>
      <c r="L311" s="21">
        <v>0.15</v>
      </c>
      <c r="M311" s="21">
        <v>1421.3341</v>
      </c>
      <c r="N311" s="21">
        <v>703</v>
      </c>
      <c r="O311" s="21">
        <v>49.927599999999998</v>
      </c>
      <c r="R311" s="21">
        <v>15000</v>
      </c>
      <c r="S311" s="21">
        <v>0.75</v>
      </c>
      <c r="T311" s="21">
        <v>0.15</v>
      </c>
      <c r="U311" s="21">
        <v>1419.6274000000001</v>
      </c>
      <c r="V311" s="21">
        <v>703</v>
      </c>
      <c r="W311" s="21">
        <v>49.829700000000003</v>
      </c>
    </row>
    <row r="312" spans="2:23" x14ac:dyDescent="0.3">
      <c r="B312" s="21">
        <v>15200</v>
      </c>
      <c r="C312" s="21">
        <v>0.75</v>
      </c>
      <c r="D312" s="21">
        <v>0.15</v>
      </c>
      <c r="E312" s="21">
        <v>1435.0672</v>
      </c>
      <c r="F312" s="21">
        <v>703</v>
      </c>
      <c r="G312" s="21">
        <v>50.728900000000003</v>
      </c>
      <c r="J312" s="21">
        <v>15200</v>
      </c>
      <c r="K312" s="21">
        <v>0.75</v>
      </c>
      <c r="L312" s="21">
        <v>0.15</v>
      </c>
      <c r="M312" s="21">
        <v>1421.2474</v>
      </c>
      <c r="N312" s="21">
        <v>703</v>
      </c>
      <c r="O312" s="21">
        <v>49.922699999999999</v>
      </c>
      <c r="R312" s="21">
        <v>15200</v>
      </c>
      <c r="S312" s="21">
        <v>0.75</v>
      </c>
      <c r="T312" s="21">
        <v>0.15</v>
      </c>
      <c r="U312" s="21">
        <v>1419.5454</v>
      </c>
      <c r="V312" s="21">
        <v>703</v>
      </c>
      <c r="W312" s="21">
        <v>49.825000000000003</v>
      </c>
    </row>
    <row r="313" spans="2:23" x14ac:dyDescent="0.3">
      <c r="B313" s="21">
        <v>15400</v>
      </c>
      <c r="C313" s="21">
        <v>0.75</v>
      </c>
      <c r="D313" s="21">
        <v>0.15</v>
      </c>
      <c r="E313" s="21">
        <v>1435.0132000000001</v>
      </c>
      <c r="F313" s="21">
        <v>703</v>
      </c>
      <c r="G313" s="21">
        <v>50.725700000000003</v>
      </c>
      <c r="J313" s="21">
        <v>15400</v>
      </c>
      <c r="K313" s="21">
        <v>0.75</v>
      </c>
      <c r="L313" s="21">
        <v>0.15</v>
      </c>
      <c r="M313" s="21">
        <v>1421.1754000000001</v>
      </c>
      <c r="N313" s="21">
        <v>703</v>
      </c>
      <c r="O313" s="21">
        <v>49.918500000000002</v>
      </c>
      <c r="R313" s="21">
        <v>15400</v>
      </c>
      <c r="S313" s="21">
        <v>0.75</v>
      </c>
      <c r="T313" s="21">
        <v>0.15</v>
      </c>
      <c r="U313" s="21">
        <v>1419.4716000000001</v>
      </c>
      <c r="V313" s="21">
        <v>703</v>
      </c>
      <c r="W313" s="21">
        <v>49.820799999999998</v>
      </c>
    </row>
    <row r="314" spans="2:23" x14ac:dyDescent="0.3">
      <c r="B314" s="21">
        <v>15600</v>
      </c>
      <c r="C314" s="21">
        <v>0.75</v>
      </c>
      <c r="D314" s="21">
        <v>0.15</v>
      </c>
      <c r="E314" s="21">
        <v>1434.9851000000001</v>
      </c>
      <c r="F314" s="21">
        <v>703</v>
      </c>
      <c r="G314" s="21">
        <v>50.7241</v>
      </c>
      <c r="J314" s="21">
        <v>15600</v>
      </c>
      <c r="K314" s="21">
        <v>0.75</v>
      </c>
      <c r="L314" s="21">
        <v>0.15</v>
      </c>
      <c r="M314" s="21">
        <v>1421.1188</v>
      </c>
      <c r="N314" s="21">
        <v>703</v>
      </c>
      <c r="O314" s="21">
        <v>49.915300000000002</v>
      </c>
      <c r="R314" s="21">
        <v>15600</v>
      </c>
      <c r="S314" s="21">
        <v>0.75</v>
      </c>
      <c r="T314" s="21">
        <v>0.15</v>
      </c>
      <c r="U314" s="21">
        <v>1419.4108000000001</v>
      </c>
      <c r="V314" s="21">
        <v>703</v>
      </c>
      <c r="W314" s="21">
        <v>49.817300000000003</v>
      </c>
    </row>
    <row r="315" spans="2:23" x14ac:dyDescent="0.3">
      <c r="B315" s="21">
        <v>15800</v>
      </c>
      <c r="C315" s="21">
        <v>0.75</v>
      </c>
      <c r="D315" s="21">
        <v>0.15</v>
      </c>
      <c r="E315" s="21">
        <v>1434.9570000000001</v>
      </c>
      <c r="F315" s="21">
        <v>703</v>
      </c>
      <c r="G315" s="21">
        <v>50.7224</v>
      </c>
      <c r="J315" s="21">
        <v>15800</v>
      </c>
      <c r="K315" s="21">
        <v>0.75</v>
      </c>
      <c r="L315" s="21">
        <v>0.15</v>
      </c>
      <c r="M315" s="21">
        <v>1421.0635</v>
      </c>
      <c r="N315" s="21">
        <v>703</v>
      </c>
      <c r="O315" s="21">
        <v>49.912100000000002</v>
      </c>
      <c r="R315" s="21">
        <v>15800</v>
      </c>
      <c r="S315" s="21">
        <v>0.75</v>
      </c>
      <c r="T315" s="21">
        <v>0.15</v>
      </c>
      <c r="U315" s="21">
        <v>1419.3554999999999</v>
      </c>
      <c r="V315" s="21">
        <v>703</v>
      </c>
      <c r="W315" s="21">
        <v>49.814100000000003</v>
      </c>
    </row>
    <row r="316" spans="2:23" x14ac:dyDescent="0.3">
      <c r="B316" s="21">
        <v>16000</v>
      </c>
      <c r="C316" s="21">
        <v>0.75</v>
      </c>
      <c r="D316" s="21">
        <v>0.15</v>
      </c>
      <c r="E316" s="21">
        <v>1434.9290000000001</v>
      </c>
      <c r="F316" s="21">
        <v>703</v>
      </c>
      <c r="G316" s="21">
        <v>50.720700000000001</v>
      </c>
      <c r="J316" s="21">
        <v>16000</v>
      </c>
      <c r="K316" s="21">
        <v>0.75</v>
      </c>
      <c r="L316" s="21">
        <v>0.15</v>
      </c>
      <c r="M316" s="21">
        <v>1421.0215000000001</v>
      </c>
      <c r="N316" s="21">
        <v>703</v>
      </c>
      <c r="O316" s="21">
        <v>49.909700000000001</v>
      </c>
      <c r="R316" s="21">
        <v>16000</v>
      </c>
      <c r="S316" s="21">
        <v>0.75</v>
      </c>
      <c r="T316" s="21">
        <v>0.15</v>
      </c>
      <c r="U316" s="21">
        <v>1419.3100999999999</v>
      </c>
      <c r="V316" s="21">
        <v>703</v>
      </c>
      <c r="W316" s="21">
        <v>49.811500000000002</v>
      </c>
    </row>
    <row r="317" spans="2:23" x14ac:dyDescent="0.3">
      <c r="B317" s="21">
        <v>16200</v>
      </c>
      <c r="C317" s="21">
        <v>0.75</v>
      </c>
      <c r="D317" s="21">
        <v>0.15</v>
      </c>
      <c r="E317" s="21">
        <v>1434.9011</v>
      </c>
      <c r="F317" s="21">
        <v>703</v>
      </c>
      <c r="G317" s="21">
        <v>50.719099999999997</v>
      </c>
      <c r="J317" s="21">
        <v>16200</v>
      </c>
      <c r="K317" s="21">
        <v>0.75</v>
      </c>
      <c r="L317" s="21">
        <v>0.15</v>
      </c>
      <c r="M317" s="21">
        <v>1420.9802999999999</v>
      </c>
      <c r="N317" s="21">
        <v>703</v>
      </c>
      <c r="O317" s="21">
        <v>49.907299999999999</v>
      </c>
      <c r="R317" s="21">
        <v>16200</v>
      </c>
      <c r="S317" s="21">
        <v>0.75</v>
      </c>
      <c r="T317" s="21">
        <v>0.15</v>
      </c>
      <c r="U317" s="21">
        <v>1419.2684999999999</v>
      </c>
      <c r="V317" s="21">
        <v>703</v>
      </c>
      <c r="W317" s="21">
        <v>49.809100000000001</v>
      </c>
    </row>
    <row r="318" spans="2:23" x14ac:dyDescent="0.3">
      <c r="B318" s="21">
        <v>16400</v>
      </c>
      <c r="C318" s="21">
        <v>0.75</v>
      </c>
      <c r="D318" s="21">
        <v>0.15</v>
      </c>
      <c r="E318" s="21">
        <v>1434.8731</v>
      </c>
      <c r="F318" s="21">
        <v>703</v>
      </c>
      <c r="G318" s="21">
        <v>50.717399999999998</v>
      </c>
      <c r="J318" s="21">
        <v>16400</v>
      </c>
      <c r="K318" s="21">
        <v>0.75</v>
      </c>
      <c r="L318" s="21">
        <v>0.15</v>
      </c>
      <c r="M318" s="21">
        <v>1420.9530999999999</v>
      </c>
      <c r="N318" s="21">
        <v>703</v>
      </c>
      <c r="O318" s="21">
        <v>49.905799999999999</v>
      </c>
      <c r="R318" s="21">
        <v>16400</v>
      </c>
      <c r="S318" s="21">
        <v>0.75</v>
      </c>
      <c r="T318" s="21">
        <v>0.15</v>
      </c>
      <c r="U318" s="21">
        <v>1419.2357999999999</v>
      </c>
      <c r="V318" s="21">
        <v>703</v>
      </c>
      <c r="W318" s="21">
        <v>49.807200000000002</v>
      </c>
    </row>
    <row r="319" spans="2:23" x14ac:dyDescent="0.3">
      <c r="B319" s="21">
        <v>16600</v>
      </c>
      <c r="C319" s="21">
        <v>0.75</v>
      </c>
      <c r="D319" s="21">
        <v>0.15</v>
      </c>
      <c r="E319" s="21">
        <v>1434.8721</v>
      </c>
      <c r="F319" s="21">
        <v>703</v>
      </c>
      <c r="G319" s="21">
        <v>50.717399999999998</v>
      </c>
      <c r="J319" s="21">
        <v>16600</v>
      </c>
      <c r="K319" s="21">
        <v>0.75</v>
      </c>
      <c r="L319" s="21">
        <v>0.15</v>
      </c>
      <c r="M319" s="21">
        <v>1420.9263000000001</v>
      </c>
      <c r="N319" s="21">
        <v>703</v>
      </c>
      <c r="O319" s="21">
        <v>49.904200000000003</v>
      </c>
      <c r="R319" s="21">
        <v>16600</v>
      </c>
      <c r="S319" s="21">
        <v>0.75</v>
      </c>
      <c r="T319" s="21">
        <v>0.15</v>
      </c>
      <c r="U319" s="21">
        <v>1419.2054000000001</v>
      </c>
      <c r="V319" s="21">
        <v>703</v>
      </c>
      <c r="W319" s="21">
        <v>49.805500000000002</v>
      </c>
    </row>
    <row r="320" spans="2:23" x14ac:dyDescent="0.3">
      <c r="B320" s="21">
        <v>16800</v>
      </c>
      <c r="C320" s="21">
        <v>0.75</v>
      </c>
      <c r="D320" s="21">
        <v>0.15</v>
      </c>
      <c r="E320" s="21">
        <v>1434.8710000000001</v>
      </c>
      <c r="F320" s="21">
        <v>703</v>
      </c>
      <c r="G320" s="21">
        <v>50.717300000000002</v>
      </c>
      <c r="J320" s="21">
        <v>16800</v>
      </c>
      <c r="K320" s="21">
        <v>0.75</v>
      </c>
      <c r="L320" s="21">
        <v>0.15</v>
      </c>
      <c r="M320" s="21">
        <v>1420.8997999999999</v>
      </c>
      <c r="N320" s="21">
        <v>703</v>
      </c>
      <c r="O320" s="21">
        <v>49.902700000000003</v>
      </c>
      <c r="R320" s="21">
        <v>16800</v>
      </c>
      <c r="S320" s="21">
        <v>0.75</v>
      </c>
      <c r="T320" s="21">
        <v>0.15</v>
      </c>
      <c r="U320" s="21">
        <v>1419.1821</v>
      </c>
      <c r="V320" s="21">
        <v>703</v>
      </c>
      <c r="W320" s="21">
        <v>49.804200000000002</v>
      </c>
    </row>
    <row r="321" spans="2:23" x14ac:dyDescent="0.3">
      <c r="B321" s="21">
        <v>17000</v>
      </c>
      <c r="C321" s="21">
        <v>0.75</v>
      </c>
      <c r="D321" s="21">
        <v>0.15</v>
      </c>
      <c r="E321" s="21">
        <v>1434.87</v>
      </c>
      <c r="F321" s="21">
        <v>703</v>
      </c>
      <c r="G321" s="21">
        <v>50.717199999999998</v>
      </c>
      <c r="J321" s="21">
        <v>17000</v>
      </c>
      <c r="K321" s="21">
        <v>0.75</v>
      </c>
      <c r="L321" s="21">
        <v>0.15</v>
      </c>
      <c r="M321" s="21">
        <v>1420.8737000000001</v>
      </c>
      <c r="N321" s="21">
        <v>703</v>
      </c>
      <c r="O321" s="21">
        <v>49.901200000000003</v>
      </c>
      <c r="R321" s="21">
        <v>17000</v>
      </c>
      <c r="S321" s="21">
        <v>0.75</v>
      </c>
      <c r="T321" s="21">
        <v>0.15</v>
      </c>
      <c r="U321" s="21">
        <v>1419.1601000000001</v>
      </c>
      <c r="V321" s="21">
        <v>703</v>
      </c>
      <c r="W321" s="21">
        <v>49.802900000000001</v>
      </c>
    </row>
    <row r="322" spans="2:23" x14ac:dyDescent="0.3">
      <c r="B322" s="21">
        <v>17200</v>
      </c>
      <c r="C322" s="21">
        <v>0.75</v>
      </c>
      <c r="D322" s="21">
        <v>0.15</v>
      </c>
      <c r="E322" s="21">
        <v>1434.8688999999999</v>
      </c>
      <c r="F322" s="21">
        <v>703</v>
      </c>
      <c r="G322" s="21">
        <v>50.717199999999998</v>
      </c>
      <c r="J322" s="21">
        <v>17200</v>
      </c>
      <c r="K322" s="21">
        <v>0.75</v>
      </c>
      <c r="L322" s="21">
        <v>0.15</v>
      </c>
      <c r="M322" s="21">
        <v>1420.8598</v>
      </c>
      <c r="N322" s="21">
        <v>703</v>
      </c>
      <c r="O322" s="21">
        <v>49.900399999999998</v>
      </c>
      <c r="R322" s="21">
        <v>17200</v>
      </c>
      <c r="S322" s="21">
        <v>0.75</v>
      </c>
      <c r="T322" s="21">
        <v>0.15</v>
      </c>
      <c r="U322" s="21">
        <v>1419.1451999999999</v>
      </c>
      <c r="V322" s="21">
        <v>703</v>
      </c>
      <c r="W322" s="21">
        <v>49.802100000000003</v>
      </c>
    </row>
    <row r="323" spans="2:23" x14ac:dyDescent="0.3">
      <c r="B323" s="21">
        <v>17400</v>
      </c>
      <c r="C323" s="21">
        <v>0.75</v>
      </c>
      <c r="D323" s="21">
        <v>0.15</v>
      </c>
      <c r="E323" s="21">
        <v>1434.8679</v>
      </c>
      <c r="F323" s="21">
        <v>703</v>
      </c>
      <c r="G323" s="21">
        <v>50.717100000000002</v>
      </c>
      <c r="J323" s="21">
        <v>17400</v>
      </c>
      <c r="K323" s="21">
        <v>0.75</v>
      </c>
      <c r="L323" s="21">
        <v>0.15</v>
      </c>
      <c r="M323" s="21">
        <v>1420.846</v>
      </c>
      <c r="N323" s="21">
        <v>703</v>
      </c>
      <c r="O323" s="21">
        <v>49.8996</v>
      </c>
      <c r="R323" s="21">
        <v>17400</v>
      </c>
      <c r="S323" s="21">
        <v>0.75</v>
      </c>
      <c r="T323" s="21">
        <v>0.15</v>
      </c>
      <c r="U323" s="21">
        <v>1419.1311000000001</v>
      </c>
      <c r="V323" s="21">
        <v>703</v>
      </c>
      <c r="W323" s="21">
        <v>49.801299999999998</v>
      </c>
    </row>
    <row r="324" spans="2:23" x14ac:dyDescent="0.3">
      <c r="B324" s="21">
        <v>17600</v>
      </c>
      <c r="C324" s="21">
        <v>0.75</v>
      </c>
      <c r="D324" s="21">
        <v>0.15</v>
      </c>
      <c r="E324" s="21">
        <v>1434.8668</v>
      </c>
      <c r="F324" s="21">
        <v>703</v>
      </c>
      <c r="G324" s="21">
        <v>50.717100000000002</v>
      </c>
      <c r="J324" s="21">
        <v>17600</v>
      </c>
      <c r="K324" s="21">
        <v>0.75</v>
      </c>
      <c r="L324" s="21">
        <v>0.15</v>
      </c>
      <c r="M324" s="21">
        <v>1420.8323</v>
      </c>
      <c r="N324" s="21">
        <v>703</v>
      </c>
      <c r="O324" s="21">
        <v>49.898800000000001</v>
      </c>
      <c r="R324" s="21">
        <v>17600</v>
      </c>
      <c r="S324" s="21">
        <v>0.75</v>
      </c>
      <c r="T324" s="21">
        <v>0.15</v>
      </c>
      <c r="U324" s="21">
        <v>1419.1176</v>
      </c>
      <c r="V324" s="21">
        <v>703</v>
      </c>
      <c r="W324" s="21">
        <v>49.8005</v>
      </c>
    </row>
    <row r="325" spans="2:23" x14ac:dyDescent="0.3">
      <c r="B325" s="21">
        <v>17800</v>
      </c>
      <c r="C325" s="21">
        <v>0.75</v>
      </c>
      <c r="D325" s="21">
        <v>0.15</v>
      </c>
      <c r="E325" s="21">
        <v>1434.8658</v>
      </c>
      <c r="F325" s="21">
        <v>703</v>
      </c>
      <c r="G325" s="21">
        <v>50.716999999999999</v>
      </c>
      <c r="J325" s="21">
        <v>17800</v>
      </c>
      <c r="K325" s="21">
        <v>0.75</v>
      </c>
      <c r="L325" s="21">
        <v>0.15</v>
      </c>
      <c r="M325" s="21">
        <v>1420.8187</v>
      </c>
      <c r="N325" s="21">
        <v>703</v>
      </c>
      <c r="O325" s="21">
        <v>49.898000000000003</v>
      </c>
      <c r="R325" s="21">
        <v>17800</v>
      </c>
      <c r="S325" s="21">
        <v>0.75</v>
      </c>
      <c r="T325" s="21">
        <v>0.15</v>
      </c>
      <c r="U325" s="21">
        <v>1419.1047000000001</v>
      </c>
      <c r="V325" s="21">
        <v>703</v>
      </c>
      <c r="W325" s="21">
        <v>49.799700000000001</v>
      </c>
    </row>
    <row r="326" spans="2:23" x14ac:dyDescent="0.3">
      <c r="B326" s="21">
        <v>18000</v>
      </c>
      <c r="C326" s="21">
        <v>0.75</v>
      </c>
      <c r="D326" s="21">
        <v>0.15</v>
      </c>
      <c r="E326" s="21">
        <v>1434.8647000000001</v>
      </c>
      <c r="F326" s="21">
        <v>703</v>
      </c>
      <c r="G326" s="21">
        <v>50.716900000000003</v>
      </c>
      <c r="J326" s="21">
        <v>18000</v>
      </c>
      <c r="K326" s="21">
        <v>0.75</v>
      </c>
      <c r="L326" s="21">
        <v>0.15</v>
      </c>
      <c r="M326" s="21">
        <v>1420.8052</v>
      </c>
      <c r="N326" s="21">
        <v>703</v>
      </c>
      <c r="O326" s="21">
        <v>49.897300000000001</v>
      </c>
      <c r="R326" s="21">
        <v>18000</v>
      </c>
      <c r="S326" s="21">
        <v>0.75</v>
      </c>
      <c r="T326" s="21">
        <v>0.15</v>
      </c>
      <c r="U326" s="21">
        <v>1419.0975000000001</v>
      </c>
      <c r="V326" s="21">
        <v>703</v>
      </c>
      <c r="W326" s="21">
        <v>49.799300000000002</v>
      </c>
    </row>
    <row r="327" spans="2:23" x14ac:dyDescent="0.3">
      <c r="B327" s="21">
        <v>18200</v>
      </c>
      <c r="C327" s="21">
        <v>0.75</v>
      </c>
      <c r="D327" s="21">
        <v>0.15</v>
      </c>
      <c r="E327" s="21">
        <v>1434.8637000000001</v>
      </c>
      <c r="F327" s="21">
        <v>703</v>
      </c>
      <c r="G327" s="21">
        <v>50.716900000000003</v>
      </c>
      <c r="J327" s="21">
        <v>18200</v>
      </c>
      <c r="K327" s="21">
        <v>0.75</v>
      </c>
      <c r="L327" s="21">
        <v>0.15</v>
      </c>
      <c r="M327" s="21">
        <v>1420.7918</v>
      </c>
      <c r="N327" s="21">
        <v>703</v>
      </c>
      <c r="O327" s="21">
        <v>49.896500000000003</v>
      </c>
      <c r="R327" s="21">
        <v>18200</v>
      </c>
      <c r="S327" s="21">
        <v>0.75</v>
      </c>
      <c r="T327" s="21">
        <v>0.15</v>
      </c>
      <c r="U327" s="21">
        <v>1419.0905</v>
      </c>
      <c r="V327" s="21">
        <v>703</v>
      </c>
      <c r="W327" s="21">
        <v>49.798900000000003</v>
      </c>
    </row>
    <row r="328" spans="2:23" x14ac:dyDescent="0.3">
      <c r="B328" s="21">
        <v>18400</v>
      </c>
      <c r="C328" s="21">
        <v>0.75</v>
      </c>
      <c r="D328" s="21">
        <v>0.15</v>
      </c>
      <c r="E328" s="21">
        <v>1434.8626999999999</v>
      </c>
      <c r="F328" s="21">
        <v>703</v>
      </c>
      <c r="G328" s="21">
        <v>50.716799999999999</v>
      </c>
      <c r="J328" s="21">
        <v>18400</v>
      </c>
      <c r="K328" s="21">
        <v>0.75</v>
      </c>
      <c r="L328" s="21">
        <v>0.15</v>
      </c>
      <c r="M328" s="21">
        <v>1420.7913000000001</v>
      </c>
      <c r="N328" s="21">
        <v>703</v>
      </c>
      <c r="O328" s="21">
        <v>49.896500000000003</v>
      </c>
      <c r="R328" s="21">
        <v>18400</v>
      </c>
      <c r="S328" s="21">
        <v>0.75</v>
      </c>
      <c r="T328" s="21">
        <v>0.15</v>
      </c>
      <c r="U328" s="21">
        <v>1419.0836999999999</v>
      </c>
      <c r="V328" s="21">
        <v>703</v>
      </c>
      <c r="W328" s="21">
        <v>49.798499999999997</v>
      </c>
    </row>
    <row r="329" spans="2:23" x14ac:dyDescent="0.3">
      <c r="B329" s="32"/>
      <c r="C329" s="32"/>
      <c r="D329" s="32"/>
      <c r="E329" s="32"/>
      <c r="F329" s="32"/>
      <c r="G329" s="32"/>
      <c r="J329" s="32"/>
      <c r="K329" s="32"/>
      <c r="L329" s="32"/>
      <c r="M329" s="32"/>
      <c r="N329" s="32"/>
      <c r="O329" s="32"/>
      <c r="R329" s="32"/>
      <c r="S329" s="32"/>
      <c r="T329" s="32"/>
      <c r="U329" s="32"/>
      <c r="V329" s="32"/>
      <c r="W329" s="32"/>
    </row>
    <row r="330" spans="2:23" ht="16.2" thickBot="1" x14ac:dyDescent="0.35">
      <c r="B330" s="1" t="s">
        <v>19</v>
      </c>
      <c r="C330" s="42" t="s">
        <v>20</v>
      </c>
      <c r="D330" s="42"/>
      <c r="E330" s="42"/>
      <c r="J330" s="1" t="s">
        <v>19</v>
      </c>
      <c r="K330" s="42" t="s">
        <v>21</v>
      </c>
      <c r="L330" s="42"/>
      <c r="M330" s="42"/>
      <c r="N330" s="2"/>
      <c r="O330" s="2"/>
      <c r="R330" s="1" t="s">
        <v>19</v>
      </c>
      <c r="S330" s="42" t="s">
        <v>22</v>
      </c>
      <c r="T330" s="42"/>
      <c r="U330" s="42"/>
      <c r="V330" s="2"/>
      <c r="W330" s="2"/>
    </row>
    <row r="331" spans="2:23" x14ac:dyDescent="0.3">
      <c r="B331" s="3"/>
      <c r="C331" s="31" t="s">
        <v>6</v>
      </c>
      <c r="D331" s="30" t="s">
        <v>7</v>
      </c>
      <c r="E331" s="28"/>
      <c r="J331" s="3"/>
      <c r="K331" s="31" t="s">
        <v>6</v>
      </c>
      <c r="L331" s="30" t="s">
        <v>7</v>
      </c>
      <c r="M331" s="28"/>
      <c r="N331" s="2"/>
      <c r="O331" s="2"/>
      <c r="R331" s="3"/>
      <c r="S331" s="31" t="s">
        <v>6</v>
      </c>
      <c r="T331" s="30" t="s">
        <v>7</v>
      </c>
      <c r="U331" s="28"/>
      <c r="V331" s="2"/>
      <c r="W331" s="2"/>
    </row>
    <row r="332" spans="2:23" ht="16.2" thickBot="1" x14ac:dyDescent="0.35">
      <c r="B332" s="25" t="s">
        <v>13</v>
      </c>
      <c r="C332" s="33">
        <v>241</v>
      </c>
      <c r="D332" s="34">
        <v>241</v>
      </c>
      <c r="E332" s="29"/>
      <c r="J332" s="25" t="s">
        <v>13</v>
      </c>
      <c r="K332" s="33">
        <v>121</v>
      </c>
      <c r="L332" s="34">
        <v>121</v>
      </c>
      <c r="M332" s="29"/>
      <c r="N332" s="2"/>
      <c r="O332" s="2"/>
      <c r="R332" s="25" t="s">
        <v>13</v>
      </c>
      <c r="S332" s="33">
        <v>61</v>
      </c>
      <c r="T332" s="34">
        <v>61</v>
      </c>
      <c r="U332" s="29"/>
      <c r="V332" s="2"/>
      <c r="W332" s="2"/>
    </row>
    <row r="333" spans="2:23" x14ac:dyDescent="0.3">
      <c r="B333" s="26" t="s">
        <v>14</v>
      </c>
      <c r="C333" s="35">
        <v>200</v>
      </c>
      <c r="D333" s="32"/>
      <c r="E333" s="29"/>
      <c r="J333" s="26" t="s">
        <v>14</v>
      </c>
      <c r="K333" s="35">
        <v>200</v>
      </c>
      <c r="L333" s="32"/>
      <c r="M333" s="29"/>
      <c r="N333" s="2"/>
      <c r="O333" s="2"/>
      <c r="R333" s="26" t="s">
        <v>14</v>
      </c>
      <c r="S333" s="35">
        <v>200</v>
      </c>
      <c r="T333" s="32"/>
      <c r="U333" s="29"/>
      <c r="V333" s="2"/>
      <c r="W333" s="2"/>
    </row>
    <row r="334" spans="2:23" ht="16.2" thickBot="1" x14ac:dyDescent="0.35">
      <c r="B334" s="26" t="s">
        <v>15</v>
      </c>
      <c r="C334" s="21" t="s">
        <v>12</v>
      </c>
      <c r="D334" s="32"/>
      <c r="E334" s="29"/>
      <c r="J334" s="26" t="s">
        <v>15</v>
      </c>
      <c r="K334" s="21" t="s">
        <v>12</v>
      </c>
      <c r="L334" s="32"/>
      <c r="M334" s="29"/>
      <c r="N334" s="2"/>
      <c r="O334" s="2"/>
      <c r="R334" s="26" t="s">
        <v>15</v>
      </c>
      <c r="S334" s="21" t="s">
        <v>12</v>
      </c>
      <c r="T334" s="32"/>
      <c r="U334" s="29"/>
      <c r="V334" s="2"/>
      <c r="W334" s="2"/>
    </row>
    <row r="335" spans="2:23" x14ac:dyDescent="0.3">
      <c r="B335" s="26" t="s">
        <v>16</v>
      </c>
      <c r="C335" s="36">
        <v>1E-3</v>
      </c>
      <c r="D335" s="31" t="s">
        <v>6</v>
      </c>
      <c r="E335" s="30" t="s">
        <v>7</v>
      </c>
      <c r="J335" s="26" t="s">
        <v>16</v>
      </c>
      <c r="K335" s="36">
        <v>1E-3</v>
      </c>
      <c r="L335" s="31" t="s">
        <v>6</v>
      </c>
      <c r="M335" s="30" t="s">
        <v>7</v>
      </c>
      <c r="N335" s="2"/>
      <c r="O335" s="2"/>
      <c r="R335" s="26" t="s">
        <v>16</v>
      </c>
      <c r="S335" s="36">
        <v>1E-3</v>
      </c>
      <c r="T335" s="31" t="s">
        <v>6</v>
      </c>
      <c r="U335" s="30" t="s">
        <v>7</v>
      </c>
      <c r="V335" s="2"/>
      <c r="W335" s="2"/>
    </row>
    <row r="336" spans="2:23" ht="16.2" thickBot="1" x14ac:dyDescent="0.35">
      <c r="B336" s="27" t="s">
        <v>18</v>
      </c>
      <c r="C336" s="37">
        <v>4</v>
      </c>
      <c r="D336" s="23">
        <f>VLOOKUP(C336,$J$4:$L$12,2,FALSE)</f>
        <v>0.25</v>
      </c>
      <c r="E336" s="24">
        <f>VLOOKUP(C336,$J$4:$L$12,3,FALSE)</f>
        <v>0.1</v>
      </c>
      <c r="J336" s="27" t="s">
        <v>18</v>
      </c>
      <c r="K336" s="37">
        <v>4</v>
      </c>
      <c r="L336" s="23">
        <f>VLOOKUP(K336,$J$4:$L$12,2,FALSE)</f>
        <v>0.25</v>
      </c>
      <c r="M336" s="24">
        <f>VLOOKUP(K336,$J$4:$L$12,3,FALSE)</f>
        <v>0.1</v>
      </c>
      <c r="N336" s="2"/>
      <c r="O336" s="2"/>
      <c r="R336" s="27" t="s">
        <v>18</v>
      </c>
      <c r="S336" s="37">
        <v>4</v>
      </c>
      <c r="T336" s="23">
        <f>VLOOKUP(S336,$J$4:$L$12,2,FALSE)</f>
        <v>0.25</v>
      </c>
      <c r="U336" s="24">
        <f>VLOOKUP(S336,$J$4:$L$12,3,FALSE)</f>
        <v>0.1</v>
      </c>
      <c r="V336" s="2"/>
      <c r="W336" s="2"/>
    </row>
    <row r="337" spans="2:23" x14ac:dyDescent="0.3">
      <c r="K337" s="2"/>
      <c r="L337" s="2"/>
      <c r="M337" s="2"/>
      <c r="N337" s="2"/>
      <c r="O337" s="2"/>
      <c r="S337" s="2"/>
      <c r="T337" s="2"/>
      <c r="U337" s="2"/>
      <c r="V337" s="2"/>
      <c r="W337" s="2"/>
    </row>
    <row r="338" spans="2:23" x14ac:dyDescent="0.3">
      <c r="B338" s="38" t="s">
        <v>0</v>
      </c>
      <c r="C338" s="39" t="s">
        <v>1</v>
      </c>
      <c r="D338" s="39" t="s">
        <v>2</v>
      </c>
      <c r="E338" s="39" t="s">
        <v>3</v>
      </c>
      <c r="F338" s="39" t="s">
        <v>4</v>
      </c>
      <c r="G338" s="39" t="s">
        <v>5</v>
      </c>
      <c r="J338" s="38" t="s">
        <v>0</v>
      </c>
      <c r="K338" s="39" t="s">
        <v>1</v>
      </c>
      <c r="L338" s="39" t="s">
        <v>2</v>
      </c>
      <c r="M338" s="39" t="s">
        <v>3</v>
      </c>
      <c r="N338" s="39" t="s">
        <v>4</v>
      </c>
      <c r="O338" s="39" t="s">
        <v>5</v>
      </c>
      <c r="R338" s="38" t="s">
        <v>0</v>
      </c>
      <c r="S338" s="39" t="s">
        <v>1</v>
      </c>
      <c r="T338" s="39" t="s">
        <v>2</v>
      </c>
      <c r="U338" s="39" t="s">
        <v>3</v>
      </c>
      <c r="V338" s="39" t="s">
        <v>4</v>
      </c>
      <c r="W338" s="39" t="s">
        <v>5</v>
      </c>
    </row>
    <row r="339" spans="2:23" x14ac:dyDescent="0.3">
      <c r="B339" s="6">
        <v>0</v>
      </c>
      <c r="C339" s="21">
        <v>0.25</v>
      </c>
      <c r="D339" s="21">
        <v>0.1</v>
      </c>
      <c r="E339" s="21">
        <v>300</v>
      </c>
      <c r="F339" s="21">
        <v>478.57299999999998</v>
      </c>
      <c r="G339" s="21">
        <v>62.213700000000003</v>
      </c>
      <c r="J339" s="6">
        <v>0</v>
      </c>
      <c r="K339" s="21">
        <v>0.25</v>
      </c>
      <c r="L339" s="21">
        <v>0.1</v>
      </c>
      <c r="M339" s="21">
        <v>300</v>
      </c>
      <c r="N339" s="21">
        <v>478.57299999999998</v>
      </c>
      <c r="O339" s="21">
        <v>62.213700000000003</v>
      </c>
      <c r="R339" s="6">
        <v>0</v>
      </c>
      <c r="S339" s="21">
        <v>0.25</v>
      </c>
      <c r="T339" s="21">
        <v>0.1</v>
      </c>
      <c r="U339" s="21">
        <v>300</v>
      </c>
      <c r="V339" s="21">
        <v>478.57299999999998</v>
      </c>
      <c r="W339" s="21">
        <v>62.213700000000003</v>
      </c>
    </row>
    <row r="340" spans="2:23" x14ac:dyDescent="0.3">
      <c r="B340" s="6">
        <v>200</v>
      </c>
      <c r="C340" s="21">
        <v>0.25</v>
      </c>
      <c r="D340" s="21">
        <v>0.1</v>
      </c>
      <c r="E340" s="21">
        <v>345.93349999999998</v>
      </c>
      <c r="F340" s="21">
        <v>457.16239999999999</v>
      </c>
      <c r="G340" s="21">
        <v>60.442599999999999</v>
      </c>
      <c r="J340" s="6">
        <v>200</v>
      </c>
      <c r="K340" s="21">
        <v>0.25</v>
      </c>
      <c r="L340" s="21">
        <v>0.1</v>
      </c>
      <c r="M340" s="21">
        <v>349.00729999999999</v>
      </c>
      <c r="N340" s="21">
        <v>456.82190000000003</v>
      </c>
      <c r="O340" s="21">
        <v>60.317399999999999</v>
      </c>
      <c r="R340" s="6">
        <v>200</v>
      </c>
      <c r="S340" s="21">
        <v>0.25</v>
      </c>
      <c r="T340" s="21">
        <v>0.1</v>
      </c>
      <c r="U340" s="21">
        <v>349.38850000000002</v>
      </c>
      <c r="V340" s="21">
        <v>456.78789999999998</v>
      </c>
      <c r="W340" s="21">
        <v>60.3018</v>
      </c>
    </row>
    <row r="341" spans="2:23" x14ac:dyDescent="0.3">
      <c r="B341" s="6">
        <v>400</v>
      </c>
      <c r="C341" s="21">
        <v>0.25</v>
      </c>
      <c r="D341" s="21">
        <v>0.1</v>
      </c>
      <c r="E341" s="21">
        <v>406.56509999999997</v>
      </c>
      <c r="F341" s="21">
        <v>468.46539999999999</v>
      </c>
      <c r="G341" s="21">
        <v>57.852600000000002</v>
      </c>
      <c r="J341" s="6">
        <v>400</v>
      </c>
      <c r="K341" s="21">
        <v>0.25</v>
      </c>
      <c r="L341" s="21">
        <v>0.1</v>
      </c>
      <c r="M341" s="21">
        <v>412.10829999999999</v>
      </c>
      <c r="N341" s="21">
        <v>470.99009999999998</v>
      </c>
      <c r="O341" s="21">
        <v>57.6053</v>
      </c>
      <c r="R341" s="6">
        <v>400</v>
      </c>
      <c r="S341" s="21">
        <v>0.25</v>
      </c>
      <c r="T341" s="21">
        <v>0.1</v>
      </c>
      <c r="U341" s="21">
        <v>412.7955</v>
      </c>
      <c r="V341" s="21">
        <v>471.3159</v>
      </c>
      <c r="W341" s="21">
        <v>57.574599999999997</v>
      </c>
    </row>
    <row r="342" spans="2:23" x14ac:dyDescent="0.3">
      <c r="B342" s="6">
        <v>600</v>
      </c>
      <c r="C342" s="21">
        <v>0.25</v>
      </c>
      <c r="D342" s="21">
        <v>0.1</v>
      </c>
      <c r="E342" s="21">
        <v>465.62419999999997</v>
      </c>
      <c r="F342" s="21">
        <v>502.49340000000001</v>
      </c>
      <c r="G342" s="21">
        <v>55.162300000000002</v>
      </c>
      <c r="J342" s="6">
        <v>600</v>
      </c>
      <c r="K342" s="21">
        <v>0.25</v>
      </c>
      <c r="L342" s="21">
        <v>0.1</v>
      </c>
      <c r="M342" s="21">
        <v>473.11939999999998</v>
      </c>
      <c r="N342" s="21">
        <v>507.55239999999998</v>
      </c>
      <c r="O342" s="21">
        <v>54.814700000000002</v>
      </c>
      <c r="R342" s="6">
        <v>600</v>
      </c>
      <c r="S342" s="21">
        <v>0.25</v>
      </c>
      <c r="T342" s="21">
        <v>0.1</v>
      </c>
      <c r="U342" s="21">
        <v>474.04410000000001</v>
      </c>
      <c r="V342" s="21">
        <v>508.18209999999999</v>
      </c>
      <c r="W342" s="21">
        <v>54.771700000000003</v>
      </c>
    </row>
    <row r="343" spans="2:23" x14ac:dyDescent="0.3">
      <c r="B343" s="6">
        <v>800</v>
      </c>
      <c r="C343" s="21">
        <v>0.25</v>
      </c>
      <c r="D343" s="21">
        <v>0.1</v>
      </c>
      <c r="E343" s="21">
        <v>520.10829999999999</v>
      </c>
      <c r="F343" s="21">
        <v>540.00890000000004</v>
      </c>
      <c r="G343" s="21">
        <v>52.626899999999999</v>
      </c>
      <c r="J343" s="6">
        <v>800</v>
      </c>
      <c r="K343" s="21">
        <v>0.25</v>
      </c>
      <c r="L343" s="21">
        <v>0.1</v>
      </c>
      <c r="M343" s="21">
        <v>529.32380000000001</v>
      </c>
      <c r="N343" s="21">
        <v>546.25580000000002</v>
      </c>
      <c r="O343" s="21">
        <v>52.198799999999999</v>
      </c>
      <c r="R343" s="6">
        <v>800</v>
      </c>
      <c r="S343" s="21">
        <v>0.25</v>
      </c>
      <c r="T343" s="21">
        <v>0.1</v>
      </c>
      <c r="U343" s="21">
        <v>530.44910000000004</v>
      </c>
      <c r="V343" s="21">
        <v>547.01139999999998</v>
      </c>
      <c r="W343" s="21">
        <v>52.146599999999999</v>
      </c>
    </row>
    <row r="344" spans="2:23" x14ac:dyDescent="0.3">
      <c r="B344" s="6">
        <v>1000</v>
      </c>
      <c r="C344" s="21">
        <v>0.25</v>
      </c>
      <c r="D344" s="21">
        <v>0.1</v>
      </c>
      <c r="E344" s="21">
        <v>570.40530000000001</v>
      </c>
      <c r="F344" s="21">
        <v>572.40769999999998</v>
      </c>
      <c r="G344" s="21">
        <v>50.309100000000001</v>
      </c>
      <c r="J344" s="6">
        <v>1000</v>
      </c>
      <c r="K344" s="21">
        <v>0.25</v>
      </c>
      <c r="L344" s="21">
        <v>0.1</v>
      </c>
      <c r="M344" s="21">
        <v>581.24639999999999</v>
      </c>
      <c r="N344" s="21">
        <v>578.71029999999996</v>
      </c>
      <c r="O344" s="21">
        <v>49.818100000000001</v>
      </c>
      <c r="R344" s="6">
        <v>1000</v>
      </c>
      <c r="S344" s="21">
        <v>0.25</v>
      </c>
      <c r="T344" s="21">
        <v>0.1</v>
      </c>
      <c r="U344" s="21">
        <v>582.5634</v>
      </c>
      <c r="V344" s="21">
        <v>579.45659999999998</v>
      </c>
      <c r="W344" s="21">
        <v>49.758699999999997</v>
      </c>
    </row>
    <row r="345" spans="2:23" x14ac:dyDescent="0.3">
      <c r="B345" s="6">
        <v>1140</v>
      </c>
      <c r="C345" s="21">
        <v>0.25</v>
      </c>
      <c r="D345" s="21">
        <v>0.1</v>
      </c>
      <c r="E345" s="21">
        <v>603.86379999999997</v>
      </c>
      <c r="F345" s="21">
        <v>590.92250000000001</v>
      </c>
      <c r="G345" s="21">
        <v>48.8078</v>
      </c>
      <c r="J345" s="6">
        <v>1140</v>
      </c>
      <c r="K345" s="21">
        <v>0.25</v>
      </c>
      <c r="L345" s="21">
        <v>0.1</v>
      </c>
      <c r="M345" s="21">
        <v>615.81700000000001</v>
      </c>
      <c r="N345" s="21">
        <v>596.85289999999998</v>
      </c>
      <c r="O345" s="21">
        <v>48.282800000000002</v>
      </c>
      <c r="R345" s="6">
        <v>1140</v>
      </c>
      <c r="S345" s="21">
        <v>0.25</v>
      </c>
      <c r="T345" s="21">
        <v>0.1</v>
      </c>
      <c r="U345" s="21">
        <v>617.2663</v>
      </c>
      <c r="V345" s="21">
        <v>597.54750000000001</v>
      </c>
      <c r="W345" s="21">
        <v>48.219700000000003</v>
      </c>
    </row>
    <row r="346" spans="2:23" x14ac:dyDescent="0.3">
      <c r="B346" s="6">
        <v>1340</v>
      </c>
      <c r="C346" s="21">
        <v>0.25</v>
      </c>
      <c r="D346" s="21">
        <v>0.1</v>
      </c>
      <c r="E346" s="21">
        <v>661.16790000000003</v>
      </c>
      <c r="F346" s="21">
        <v>616.29340000000002</v>
      </c>
      <c r="G346" s="21">
        <v>46.3611</v>
      </c>
      <c r="J346" s="6">
        <v>1340</v>
      </c>
      <c r="K346" s="21">
        <v>0.25</v>
      </c>
      <c r="L346" s="21">
        <v>0.1</v>
      </c>
      <c r="M346" s="21">
        <v>674.38990000000001</v>
      </c>
      <c r="N346" s="21">
        <v>621.21019999999999</v>
      </c>
      <c r="O346" s="21">
        <v>45.825000000000003</v>
      </c>
      <c r="R346" s="6">
        <v>1340</v>
      </c>
      <c r="S346" s="21">
        <v>0.25</v>
      </c>
      <c r="T346" s="21">
        <v>0.1</v>
      </c>
      <c r="U346" s="21">
        <v>675.98080000000004</v>
      </c>
      <c r="V346" s="21">
        <v>621.78510000000006</v>
      </c>
      <c r="W346" s="21">
        <v>45.761299999999999</v>
      </c>
    </row>
    <row r="347" spans="2:23" x14ac:dyDescent="0.3">
      <c r="B347" s="6">
        <v>1540</v>
      </c>
      <c r="C347" s="21">
        <v>0.25</v>
      </c>
      <c r="D347" s="21">
        <v>0.1</v>
      </c>
      <c r="E347" s="21">
        <v>721.6327</v>
      </c>
      <c r="F347" s="21">
        <v>637.59320000000002</v>
      </c>
      <c r="G347" s="21">
        <v>44.016100000000002</v>
      </c>
      <c r="J347" s="6">
        <v>1540</v>
      </c>
      <c r="K347" s="21">
        <v>0.25</v>
      </c>
      <c r="L347" s="21">
        <v>0.1</v>
      </c>
      <c r="M347" s="21">
        <v>735.74950000000001</v>
      </c>
      <c r="N347" s="21">
        <v>642.61940000000004</v>
      </c>
      <c r="O347" s="21">
        <v>43.511400000000002</v>
      </c>
      <c r="R347" s="6">
        <v>1540</v>
      </c>
      <c r="S347" s="21">
        <v>0.25</v>
      </c>
      <c r="T347" s="21">
        <v>0.1</v>
      </c>
      <c r="U347" s="21">
        <v>737.44529999999997</v>
      </c>
      <c r="V347" s="21">
        <v>643.24249999999995</v>
      </c>
      <c r="W347" s="21">
        <v>43.451999999999998</v>
      </c>
    </row>
    <row r="348" spans="2:23" x14ac:dyDescent="0.3">
      <c r="B348" s="6">
        <v>1740</v>
      </c>
      <c r="C348" s="21">
        <v>0.25</v>
      </c>
      <c r="D348" s="21">
        <v>0.1</v>
      </c>
      <c r="E348" s="21">
        <v>779.46860000000004</v>
      </c>
      <c r="F348" s="21">
        <v>661.19629999999995</v>
      </c>
      <c r="G348" s="21">
        <v>42.066299999999998</v>
      </c>
      <c r="J348" s="6">
        <v>1740</v>
      </c>
      <c r="K348" s="21">
        <v>0.25</v>
      </c>
      <c r="L348" s="21">
        <v>0.1</v>
      </c>
      <c r="M348" s="21">
        <v>793.98209999999995</v>
      </c>
      <c r="N348" s="21">
        <v>669.11770000000001</v>
      </c>
      <c r="O348" s="21">
        <v>41.628900000000002</v>
      </c>
      <c r="R348" s="6">
        <v>1740</v>
      </c>
      <c r="S348" s="21">
        <v>0.25</v>
      </c>
      <c r="T348" s="21">
        <v>0.1</v>
      </c>
      <c r="U348" s="21">
        <v>795.70550000000003</v>
      </c>
      <c r="V348" s="21">
        <v>670.13940000000002</v>
      </c>
      <c r="W348" s="21">
        <v>41.578400000000002</v>
      </c>
    </row>
    <row r="349" spans="2:23" x14ac:dyDescent="0.3">
      <c r="B349" s="6">
        <v>1940</v>
      </c>
      <c r="C349" s="21">
        <v>0.25</v>
      </c>
      <c r="D349" s="21">
        <v>0.1</v>
      </c>
      <c r="E349" s="21">
        <v>831.76729999999998</v>
      </c>
      <c r="F349" s="21">
        <v>696.57190000000003</v>
      </c>
      <c r="G349" s="21">
        <v>40.597200000000001</v>
      </c>
      <c r="J349" s="6">
        <v>1940</v>
      </c>
      <c r="K349" s="21">
        <v>0.25</v>
      </c>
      <c r="L349" s="21">
        <v>0.1</v>
      </c>
      <c r="M349" s="21">
        <v>846.18589999999995</v>
      </c>
      <c r="N349" s="21">
        <v>710.48080000000004</v>
      </c>
      <c r="O349" s="21">
        <v>40.246400000000001</v>
      </c>
      <c r="R349" s="6">
        <v>1940</v>
      </c>
      <c r="S349" s="21">
        <v>0.25</v>
      </c>
      <c r="T349" s="21">
        <v>0.1</v>
      </c>
      <c r="U349" s="21">
        <v>847.89459999999997</v>
      </c>
      <c r="V349" s="21">
        <v>712.28129999999999</v>
      </c>
      <c r="W349" s="21">
        <v>40.206400000000002</v>
      </c>
    </row>
    <row r="350" spans="2:23" x14ac:dyDescent="0.3">
      <c r="B350" s="6">
        <v>2140</v>
      </c>
      <c r="C350" s="21">
        <v>0.25</v>
      </c>
      <c r="D350" s="21">
        <v>0.1</v>
      </c>
      <c r="E350" s="21">
        <v>877.77750000000003</v>
      </c>
      <c r="F350" s="21">
        <v>749.8329</v>
      </c>
      <c r="G350" s="21">
        <v>39.564900000000002</v>
      </c>
      <c r="J350" s="6">
        <v>2140</v>
      </c>
      <c r="K350" s="21">
        <v>0.25</v>
      </c>
      <c r="L350" s="21">
        <v>0.1</v>
      </c>
      <c r="M350" s="21">
        <v>891.73180000000002</v>
      </c>
      <c r="N350" s="21">
        <v>771.87279999999998</v>
      </c>
      <c r="O350" s="21">
        <v>39.3033</v>
      </c>
      <c r="R350" s="6">
        <v>2140</v>
      </c>
      <c r="S350" s="21">
        <v>0.25</v>
      </c>
      <c r="T350" s="21">
        <v>0.1</v>
      </c>
      <c r="U350" s="21">
        <v>893.37</v>
      </c>
      <c r="V350" s="21">
        <v>774.67340000000002</v>
      </c>
      <c r="W350" s="21">
        <v>39.2742</v>
      </c>
    </row>
    <row r="351" spans="2:23" x14ac:dyDescent="0.3">
      <c r="B351" s="6">
        <v>2340</v>
      </c>
      <c r="C351" s="21">
        <v>0.25</v>
      </c>
      <c r="D351" s="21">
        <v>0.1</v>
      </c>
      <c r="E351" s="21">
        <v>917.97029999999995</v>
      </c>
      <c r="F351" s="21">
        <v>822.71299999999997</v>
      </c>
      <c r="G351" s="21">
        <v>38.879199999999997</v>
      </c>
      <c r="J351" s="6">
        <v>2340</v>
      </c>
      <c r="K351" s="21">
        <v>0.25</v>
      </c>
      <c r="L351" s="21">
        <v>0.1</v>
      </c>
      <c r="M351" s="21">
        <v>931.33690000000001</v>
      </c>
      <c r="N351" s="21">
        <v>854.00250000000005</v>
      </c>
      <c r="O351" s="21">
        <v>38.698099999999997</v>
      </c>
      <c r="R351" s="6">
        <v>2340</v>
      </c>
      <c r="S351" s="21">
        <v>0.25</v>
      </c>
      <c r="T351" s="21">
        <v>0.1</v>
      </c>
      <c r="U351" s="21">
        <v>932.86379999999997</v>
      </c>
      <c r="V351" s="21">
        <v>857.83159999999998</v>
      </c>
      <c r="W351" s="21">
        <v>38.678899999999999</v>
      </c>
    </row>
    <row r="352" spans="2:23" x14ac:dyDescent="0.3">
      <c r="B352" s="6">
        <v>2540</v>
      </c>
      <c r="C352" s="21">
        <v>0.25</v>
      </c>
      <c r="D352" s="21">
        <v>0.1</v>
      </c>
      <c r="E352" s="21">
        <v>953.41639999999995</v>
      </c>
      <c r="F352" s="21">
        <v>914.87260000000003</v>
      </c>
      <c r="G352" s="21">
        <v>38.451700000000002</v>
      </c>
      <c r="J352" s="6">
        <v>2540</v>
      </c>
      <c r="K352" s="21">
        <v>0.25</v>
      </c>
      <c r="L352" s="21">
        <v>0.1</v>
      </c>
      <c r="M352" s="21">
        <v>966.27539999999999</v>
      </c>
      <c r="N352" s="21">
        <v>956.17399999999998</v>
      </c>
      <c r="O352" s="21">
        <v>38.339100000000002</v>
      </c>
      <c r="R352" s="6">
        <v>2540</v>
      </c>
      <c r="S352" s="21">
        <v>0.25</v>
      </c>
      <c r="T352" s="21">
        <v>0.1</v>
      </c>
      <c r="U352" s="21">
        <v>967.71190000000001</v>
      </c>
      <c r="V352" s="21">
        <v>961.07579999999996</v>
      </c>
      <c r="W352" s="21">
        <v>38.3279</v>
      </c>
    </row>
    <row r="353" spans="2:23" x14ac:dyDescent="0.3">
      <c r="B353" s="6">
        <v>2740</v>
      </c>
      <c r="C353" s="21">
        <v>0.25</v>
      </c>
      <c r="D353" s="21">
        <v>0.1</v>
      </c>
      <c r="E353" s="21">
        <v>985.37099999999998</v>
      </c>
      <c r="F353" s="21">
        <v>1026.3752999999999</v>
      </c>
      <c r="G353" s="21">
        <v>38.214500000000001</v>
      </c>
      <c r="J353" s="6">
        <v>2740</v>
      </c>
      <c r="K353" s="21">
        <v>0.25</v>
      </c>
      <c r="L353" s="21">
        <v>0.1</v>
      </c>
      <c r="M353" s="21">
        <v>998.16780000000006</v>
      </c>
      <c r="N353" s="21">
        <v>1079.8866</v>
      </c>
      <c r="O353" s="21">
        <v>38.1599</v>
      </c>
      <c r="R353" s="6">
        <v>2740</v>
      </c>
      <c r="S353" s="21">
        <v>0.25</v>
      </c>
      <c r="T353" s="21">
        <v>0.1</v>
      </c>
      <c r="U353" s="21">
        <v>999.59519999999998</v>
      </c>
      <c r="V353" s="21">
        <v>1086.1973</v>
      </c>
      <c r="W353" s="21">
        <v>38.155299999999997</v>
      </c>
    </row>
    <row r="354" spans="2:23" x14ac:dyDescent="0.3">
      <c r="B354" s="6">
        <v>2940</v>
      </c>
      <c r="C354" s="21">
        <v>0.25</v>
      </c>
      <c r="D354" s="21">
        <v>0.1</v>
      </c>
      <c r="E354" s="21">
        <v>1015.5645</v>
      </c>
      <c r="F354" s="21">
        <v>1161.7439999999999</v>
      </c>
      <c r="G354" s="21">
        <v>38.1233</v>
      </c>
      <c r="J354" s="6">
        <v>2940</v>
      </c>
      <c r="K354" s="21">
        <v>0.25</v>
      </c>
      <c r="L354" s="21">
        <v>0.1</v>
      </c>
      <c r="M354" s="21">
        <v>1030.2859000000001</v>
      </c>
      <c r="N354" s="21">
        <v>1239.8896999999999</v>
      </c>
      <c r="O354" s="21">
        <v>38.1267</v>
      </c>
      <c r="R354" s="6">
        <v>2940</v>
      </c>
      <c r="S354" s="21">
        <v>0.25</v>
      </c>
      <c r="T354" s="21">
        <v>0.1</v>
      </c>
      <c r="U354" s="21">
        <v>1032.0813000000001</v>
      </c>
      <c r="V354" s="21">
        <v>1250.0096000000001</v>
      </c>
      <c r="W354" s="21">
        <v>38.129199999999997</v>
      </c>
    </row>
    <row r="355" spans="2:23" x14ac:dyDescent="0.3">
      <c r="B355" s="6">
        <v>3060</v>
      </c>
      <c r="C355" s="21">
        <v>0.25</v>
      </c>
      <c r="D355" s="21">
        <v>0.1</v>
      </c>
      <c r="E355" s="21">
        <v>1034.7198000000001</v>
      </c>
      <c r="F355" s="21">
        <v>1124.5243</v>
      </c>
      <c r="G355" s="21">
        <v>38.133899999999997</v>
      </c>
      <c r="J355" s="6">
        <v>3060</v>
      </c>
      <c r="K355" s="21">
        <v>0.25</v>
      </c>
      <c r="L355" s="21">
        <v>0.1</v>
      </c>
      <c r="M355" s="21">
        <v>1051.8217</v>
      </c>
      <c r="N355" s="21">
        <v>1060.6876999999999</v>
      </c>
      <c r="O355" s="21">
        <v>38.188699999999997</v>
      </c>
      <c r="R355" s="6">
        <v>3060</v>
      </c>
      <c r="S355" s="21">
        <v>0.25</v>
      </c>
      <c r="T355" s="21">
        <v>0.1</v>
      </c>
      <c r="U355" s="21">
        <v>1053.7725</v>
      </c>
      <c r="V355" s="21">
        <v>1053.6831999999999</v>
      </c>
      <c r="W355" s="21">
        <v>38.197699999999998</v>
      </c>
    </row>
    <row r="356" spans="2:23" x14ac:dyDescent="0.3">
      <c r="B356" s="6">
        <v>3260</v>
      </c>
      <c r="C356" s="21">
        <v>0.25</v>
      </c>
      <c r="D356" s="21">
        <v>0.1</v>
      </c>
      <c r="E356" s="21">
        <v>1075.037</v>
      </c>
      <c r="F356" s="21">
        <v>981.12929999999994</v>
      </c>
      <c r="G356" s="21">
        <v>38.3324</v>
      </c>
      <c r="J356" s="6">
        <v>3260</v>
      </c>
      <c r="K356" s="21">
        <v>0.25</v>
      </c>
      <c r="L356" s="21">
        <v>0.1</v>
      </c>
      <c r="M356" s="21">
        <v>1095.3275000000001</v>
      </c>
      <c r="N356" s="21">
        <v>918.59690000000001</v>
      </c>
      <c r="O356" s="21">
        <v>38.523899999999998</v>
      </c>
      <c r="R356" s="6">
        <v>3260</v>
      </c>
      <c r="S356" s="21">
        <v>0.25</v>
      </c>
      <c r="T356" s="21">
        <v>0.1</v>
      </c>
      <c r="U356" s="21">
        <v>1097.6334999999999</v>
      </c>
      <c r="V356" s="21">
        <v>911.91750000000002</v>
      </c>
      <c r="W356" s="21">
        <v>38.549599999999998</v>
      </c>
    </row>
    <row r="357" spans="2:23" x14ac:dyDescent="0.3">
      <c r="B357" s="6">
        <v>3460</v>
      </c>
      <c r="C357" s="21">
        <v>0.25</v>
      </c>
      <c r="D357" s="21">
        <v>0.1</v>
      </c>
      <c r="E357" s="21">
        <v>1121.9837</v>
      </c>
      <c r="F357" s="21">
        <v>846.88930000000005</v>
      </c>
      <c r="G357" s="21">
        <v>38.869300000000003</v>
      </c>
      <c r="J357" s="6">
        <v>3460</v>
      </c>
      <c r="K357" s="21">
        <v>0.25</v>
      </c>
      <c r="L357" s="21">
        <v>0.1</v>
      </c>
      <c r="M357" s="21">
        <v>1144.8559</v>
      </c>
      <c r="N357" s="21">
        <v>795.28570000000002</v>
      </c>
      <c r="O357" s="21">
        <v>39.251100000000001</v>
      </c>
      <c r="R357" s="6">
        <v>3460</v>
      </c>
      <c r="S357" s="21">
        <v>0.25</v>
      </c>
      <c r="T357" s="21">
        <v>0.1</v>
      </c>
      <c r="U357" s="21">
        <v>1147.4368999999999</v>
      </c>
      <c r="V357" s="21">
        <v>790.05870000000004</v>
      </c>
      <c r="W357" s="21">
        <v>39.299100000000003</v>
      </c>
    </row>
    <row r="358" spans="2:23" x14ac:dyDescent="0.3">
      <c r="B358" s="6">
        <v>3660</v>
      </c>
      <c r="C358" s="21">
        <v>0.25</v>
      </c>
      <c r="D358" s="21">
        <v>0.1</v>
      </c>
      <c r="E358" s="21">
        <v>1170.7577000000001</v>
      </c>
      <c r="F358" s="21">
        <v>748.49249999999995</v>
      </c>
      <c r="G358" s="21">
        <v>39.778700000000001</v>
      </c>
      <c r="J358" s="6">
        <v>3660</v>
      </c>
      <c r="K358" s="21">
        <v>0.25</v>
      </c>
      <c r="L358" s="21">
        <v>0.1</v>
      </c>
      <c r="M358" s="21">
        <v>1194.5659000000001</v>
      </c>
      <c r="N358" s="21">
        <v>716.92100000000005</v>
      </c>
      <c r="O358" s="21">
        <v>40.352899999999998</v>
      </c>
      <c r="R358" s="6">
        <v>3660</v>
      </c>
      <c r="S358" s="21">
        <v>0.25</v>
      </c>
      <c r="T358" s="21">
        <v>0.1</v>
      </c>
      <c r="U358" s="21">
        <v>1197.2088000000001</v>
      </c>
      <c r="V358" s="21">
        <v>714.11479999999995</v>
      </c>
      <c r="W358" s="21">
        <v>40.421799999999998</v>
      </c>
    </row>
    <row r="359" spans="2:23" x14ac:dyDescent="0.3">
      <c r="B359" s="6">
        <v>3860</v>
      </c>
      <c r="C359" s="21">
        <v>0.25</v>
      </c>
      <c r="D359" s="21">
        <v>0.1</v>
      </c>
      <c r="E359" s="21">
        <v>1216.2962</v>
      </c>
      <c r="F359" s="21">
        <v>703</v>
      </c>
      <c r="G359" s="21">
        <v>40.951000000000001</v>
      </c>
      <c r="J359" s="6">
        <v>3860</v>
      </c>
      <c r="K359" s="21">
        <v>0.25</v>
      </c>
      <c r="L359" s="21">
        <v>0.1</v>
      </c>
      <c r="M359" s="21">
        <v>1239.3783000000001</v>
      </c>
      <c r="N359" s="21">
        <v>703</v>
      </c>
      <c r="O359" s="21">
        <v>41.663400000000003</v>
      </c>
      <c r="R359" s="6">
        <v>3860</v>
      </c>
      <c r="S359" s="21">
        <v>0.25</v>
      </c>
      <c r="T359" s="21">
        <v>0.1</v>
      </c>
      <c r="U359" s="21">
        <v>1241.9627</v>
      </c>
      <c r="V359" s="21">
        <v>703</v>
      </c>
      <c r="W359" s="21">
        <v>41.748100000000001</v>
      </c>
    </row>
    <row r="360" spans="2:23" x14ac:dyDescent="0.3">
      <c r="B360" s="6">
        <v>4060</v>
      </c>
      <c r="C360" s="21">
        <v>0.25</v>
      </c>
      <c r="D360" s="21">
        <v>0.1</v>
      </c>
      <c r="E360" s="21">
        <v>1256.3503000000001</v>
      </c>
      <c r="F360" s="21">
        <v>703</v>
      </c>
      <c r="G360" s="21">
        <v>42.237400000000001</v>
      </c>
      <c r="J360" s="6">
        <v>4060</v>
      </c>
      <c r="K360" s="21">
        <v>0.25</v>
      </c>
      <c r="L360" s="21">
        <v>0.1</v>
      </c>
      <c r="M360" s="21">
        <v>1278.8362</v>
      </c>
      <c r="N360" s="21">
        <v>703</v>
      </c>
      <c r="O360" s="21">
        <v>43.0627</v>
      </c>
      <c r="R360" s="6">
        <v>4060</v>
      </c>
      <c r="S360" s="21">
        <v>0.25</v>
      </c>
      <c r="T360" s="21">
        <v>0.1</v>
      </c>
      <c r="U360" s="21">
        <v>1281.3824999999999</v>
      </c>
      <c r="V360" s="21">
        <v>703</v>
      </c>
      <c r="W360" s="21">
        <v>43.160699999999999</v>
      </c>
    </row>
    <row r="361" spans="2:23" x14ac:dyDescent="0.3">
      <c r="B361" s="6">
        <v>4260</v>
      </c>
      <c r="C361" s="21">
        <v>0.25</v>
      </c>
      <c r="D361" s="21">
        <v>0.1</v>
      </c>
      <c r="E361" s="21">
        <v>1291.3583000000001</v>
      </c>
      <c r="F361" s="21">
        <v>703</v>
      </c>
      <c r="G361" s="21">
        <v>43.553899999999999</v>
      </c>
      <c r="J361" s="6">
        <v>4260</v>
      </c>
      <c r="K361" s="21">
        <v>0.25</v>
      </c>
      <c r="L361" s="21">
        <v>0.1</v>
      </c>
      <c r="M361" s="21">
        <v>1313.2705000000001</v>
      </c>
      <c r="N361" s="21">
        <v>703</v>
      </c>
      <c r="O361" s="21">
        <v>44.467300000000002</v>
      </c>
      <c r="R361" s="6">
        <v>4260</v>
      </c>
      <c r="S361" s="21">
        <v>0.25</v>
      </c>
      <c r="T361" s="21">
        <v>0.1</v>
      </c>
      <c r="U361" s="21">
        <v>1315.7781</v>
      </c>
      <c r="V361" s="21">
        <v>703</v>
      </c>
      <c r="W361" s="21">
        <v>44.576099999999997</v>
      </c>
    </row>
    <row r="362" spans="2:23" x14ac:dyDescent="0.3">
      <c r="B362" s="6">
        <v>4460</v>
      </c>
      <c r="C362" s="21">
        <v>0.25</v>
      </c>
      <c r="D362" s="21">
        <v>0.1</v>
      </c>
      <c r="E362" s="21">
        <v>1321.7742000000001</v>
      </c>
      <c r="F362" s="21">
        <v>703</v>
      </c>
      <c r="G362" s="21">
        <v>44.8399</v>
      </c>
      <c r="J362" s="6">
        <v>4460</v>
      </c>
      <c r="K362" s="21">
        <v>0.25</v>
      </c>
      <c r="L362" s="21">
        <v>0.1</v>
      </c>
      <c r="M362" s="21">
        <v>1343.1031</v>
      </c>
      <c r="N362" s="21">
        <v>703</v>
      </c>
      <c r="O362" s="21">
        <v>45.818800000000003</v>
      </c>
      <c r="R362" s="6">
        <v>4460</v>
      </c>
      <c r="S362" s="21">
        <v>0.25</v>
      </c>
      <c r="T362" s="21">
        <v>0.1</v>
      </c>
      <c r="U362" s="21">
        <v>1345.5505000000001</v>
      </c>
      <c r="V362" s="21">
        <v>703</v>
      </c>
      <c r="W362" s="21">
        <v>45.935099999999998</v>
      </c>
    </row>
    <row r="363" spans="2:23" x14ac:dyDescent="0.3">
      <c r="B363" s="6">
        <v>4660</v>
      </c>
      <c r="C363" s="21">
        <v>0.25</v>
      </c>
      <c r="D363" s="21">
        <v>0.1</v>
      </c>
      <c r="E363" s="21">
        <v>1348.0671</v>
      </c>
      <c r="F363" s="21">
        <v>703</v>
      </c>
      <c r="G363" s="21">
        <v>46.055500000000002</v>
      </c>
      <c r="J363" s="6">
        <v>4660</v>
      </c>
      <c r="K363" s="21">
        <v>0.25</v>
      </c>
      <c r="L363" s="21">
        <v>0.1</v>
      </c>
      <c r="M363" s="21">
        <v>1368.7592</v>
      </c>
      <c r="N363" s="21">
        <v>703</v>
      </c>
      <c r="O363" s="21">
        <v>47.078200000000002</v>
      </c>
      <c r="R363" s="6">
        <v>4660</v>
      </c>
      <c r="S363" s="21">
        <v>0.25</v>
      </c>
      <c r="T363" s="21">
        <v>0.1</v>
      </c>
      <c r="U363" s="21">
        <v>1371.1556</v>
      </c>
      <c r="V363" s="21">
        <v>703</v>
      </c>
      <c r="W363" s="21">
        <v>47.200299999999999</v>
      </c>
    </row>
    <row r="364" spans="2:23" x14ac:dyDescent="0.3">
      <c r="B364" s="6">
        <v>4860</v>
      </c>
      <c r="C364" s="21">
        <v>0.25</v>
      </c>
      <c r="D364" s="21">
        <v>0.1</v>
      </c>
      <c r="E364" s="21">
        <v>1370.6446000000001</v>
      </c>
      <c r="F364" s="21">
        <v>703</v>
      </c>
      <c r="G364" s="21">
        <v>47.174199999999999</v>
      </c>
      <c r="J364" s="6">
        <v>4860</v>
      </c>
      <c r="K364" s="21">
        <v>0.25</v>
      </c>
      <c r="L364" s="21">
        <v>0.1</v>
      </c>
      <c r="M364" s="21">
        <v>1390.729</v>
      </c>
      <c r="N364" s="21">
        <v>703</v>
      </c>
      <c r="O364" s="21">
        <v>48.225900000000003</v>
      </c>
      <c r="R364" s="6">
        <v>4860</v>
      </c>
      <c r="S364" s="21">
        <v>0.25</v>
      </c>
      <c r="T364" s="21">
        <v>0.1</v>
      </c>
      <c r="U364" s="21">
        <v>1393.0586000000001</v>
      </c>
      <c r="V364" s="21">
        <v>703</v>
      </c>
      <c r="W364" s="21">
        <v>48.351300000000002</v>
      </c>
    </row>
    <row r="365" spans="2:23" x14ac:dyDescent="0.3">
      <c r="B365" s="6">
        <v>4980</v>
      </c>
      <c r="C365" s="21">
        <v>0.25</v>
      </c>
      <c r="D365" s="21">
        <v>0.1</v>
      </c>
      <c r="E365" s="21">
        <v>1382.9798000000001</v>
      </c>
      <c r="F365" s="21">
        <v>703</v>
      </c>
      <c r="G365" s="21">
        <v>47.813899999999997</v>
      </c>
      <c r="J365" s="6">
        <v>4980</v>
      </c>
      <c r="K365" s="21">
        <v>0.25</v>
      </c>
      <c r="L365" s="21">
        <v>0.1</v>
      </c>
      <c r="M365" s="21">
        <v>1402.6815999999999</v>
      </c>
      <c r="N365" s="21">
        <v>703</v>
      </c>
      <c r="O365" s="21">
        <v>48.8765</v>
      </c>
      <c r="R365" s="6">
        <v>4980</v>
      </c>
      <c r="S365" s="21">
        <v>0.25</v>
      </c>
      <c r="T365" s="21">
        <v>0.1</v>
      </c>
      <c r="U365" s="21">
        <v>1404.9668999999999</v>
      </c>
      <c r="V365" s="21">
        <v>703</v>
      </c>
      <c r="W365" s="21">
        <v>49.002899999999997</v>
      </c>
    </row>
    <row r="366" spans="2:23" x14ac:dyDescent="0.3">
      <c r="B366" s="6">
        <v>5180</v>
      </c>
      <c r="C366" s="21">
        <v>0.25</v>
      </c>
      <c r="D366" s="21">
        <v>0.1</v>
      </c>
      <c r="E366" s="21">
        <v>1400.5197000000001</v>
      </c>
      <c r="F366" s="21">
        <v>703</v>
      </c>
      <c r="G366" s="21">
        <v>48.7575</v>
      </c>
      <c r="J366" s="6">
        <v>5180</v>
      </c>
      <c r="K366" s="21">
        <v>0.25</v>
      </c>
      <c r="L366" s="21">
        <v>0.1</v>
      </c>
      <c r="M366" s="21">
        <v>1419.6578</v>
      </c>
      <c r="N366" s="21">
        <v>703</v>
      </c>
      <c r="O366" s="21">
        <v>49.831400000000002</v>
      </c>
      <c r="R366" s="6">
        <v>5180</v>
      </c>
      <c r="S366" s="21">
        <v>0.25</v>
      </c>
      <c r="T366" s="21">
        <v>0.1</v>
      </c>
      <c r="U366" s="21">
        <v>1421.8888999999999</v>
      </c>
      <c r="V366" s="21">
        <v>703</v>
      </c>
      <c r="W366" s="21">
        <v>49.959600000000002</v>
      </c>
    </row>
    <row r="367" spans="2:23" x14ac:dyDescent="0.3">
      <c r="B367" s="6">
        <v>5380</v>
      </c>
      <c r="C367" s="21">
        <v>0.25</v>
      </c>
      <c r="D367" s="21">
        <v>0.1</v>
      </c>
      <c r="E367" s="21">
        <v>1415.5136</v>
      </c>
      <c r="F367" s="21">
        <v>703</v>
      </c>
      <c r="G367" s="21">
        <v>49.594999999999999</v>
      </c>
      <c r="J367" s="6">
        <v>5380</v>
      </c>
      <c r="K367" s="21">
        <v>0.25</v>
      </c>
      <c r="L367" s="21">
        <v>0.1</v>
      </c>
      <c r="M367" s="21">
        <v>1434.0778</v>
      </c>
      <c r="N367" s="21">
        <v>703</v>
      </c>
      <c r="O367" s="21">
        <v>50.670400000000001</v>
      </c>
      <c r="R367" s="6">
        <v>5380</v>
      </c>
      <c r="S367" s="21">
        <v>0.25</v>
      </c>
      <c r="T367" s="21">
        <v>0.1</v>
      </c>
      <c r="U367" s="21">
        <v>1436.2535</v>
      </c>
      <c r="V367" s="21">
        <v>703</v>
      </c>
      <c r="W367" s="21">
        <v>50.799199999999999</v>
      </c>
    </row>
    <row r="368" spans="2:23" x14ac:dyDescent="0.3">
      <c r="B368" s="6">
        <v>5580</v>
      </c>
      <c r="C368" s="21">
        <v>0.25</v>
      </c>
      <c r="D368" s="21">
        <v>0.1</v>
      </c>
      <c r="E368" s="21">
        <v>1428.2313999999999</v>
      </c>
      <c r="F368" s="21">
        <v>703</v>
      </c>
      <c r="G368" s="21">
        <v>50.327199999999998</v>
      </c>
      <c r="J368" s="6">
        <v>5580</v>
      </c>
      <c r="K368" s="21">
        <v>0.25</v>
      </c>
      <c r="L368" s="21">
        <v>0.1</v>
      </c>
      <c r="M368" s="21">
        <v>1446.2654</v>
      </c>
      <c r="N368" s="21">
        <v>703</v>
      </c>
      <c r="O368" s="21">
        <v>51.399000000000001</v>
      </c>
      <c r="R368" s="6">
        <v>5580</v>
      </c>
      <c r="S368" s="21">
        <v>0.25</v>
      </c>
      <c r="T368" s="21">
        <v>0.1</v>
      </c>
      <c r="U368" s="21">
        <v>1448.3913</v>
      </c>
      <c r="V368" s="21">
        <v>703</v>
      </c>
      <c r="W368" s="21">
        <v>51.527900000000002</v>
      </c>
    </row>
    <row r="369" spans="2:23" x14ac:dyDescent="0.3">
      <c r="B369" s="6">
        <v>5780</v>
      </c>
      <c r="C369" s="21">
        <v>0.25</v>
      </c>
      <c r="D369" s="21">
        <v>0.1</v>
      </c>
      <c r="E369" s="21">
        <v>1438.9957999999999</v>
      </c>
      <c r="F369" s="21">
        <v>703</v>
      </c>
      <c r="G369" s="21">
        <v>50.962299999999999</v>
      </c>
      <c r="J369" s="6">
        <v>5780</v>
      </c>
      <c r="K369" s="21">
        <v>0.25</v>
      </c>
      <c r="L369" s="21">
        <v>0.1</v>
      </c>
      <c r="M369" s="21">
        <v>1456.5572</v>
      </c>
      <c r="N369" s="21">
        <v>703</v>
      </c>
      <c r="O369" s="21">
        <v>52.027900000000002</v>
      </c>
      <c r="R369" s="6">
        <v>5780</v>
      </c>
      <c r="S369" s="21">
        <v>0.25</v>
      </c>
      <c r="T369" s="21">
        <v>0.1</v>
      </c>
      <c r="U369" s="21">
        <v>1458.6234999999999</v>
      </c>
      <c r="V369" s="21">
        <v>703</v>
      </c>
      <c r="W369" s="21">
        <v>52.1556</v>
      </c>
    </row>
    <row r="370" spans="2:23" x14ac:dyDescent="0.3">
      <c r="B370" s="6">
        <v>5980</v>
      </c>
      <c r="C370" s="21">
        <v>0.25</v>
      </c>
      <c r="D370" s="21">
        <v>0.1</v>
      </c>
      <c r="E370" s="21">
        <v>1448.1253999999999</v>
      </c>
      <c r="F370" s="21">
        <v>703</v>
      </c>
      <c r="G370" s="21">
        <v>51.511800000000001</v>
      </c>
      <c r="J370" s="6">
        <v>5980</v>
      </c>
      <c r="K370" s="21">
        <v>0.25</v>
      </c>
      <c r="L370" s="21">
        <v>0.1</v>
      </c>
      <c r="M370" s="21">
        <v>1465.2274</v>
      </c>
      <c r="N370" s="21">
        <v>703</v>
      </c>
      <c r="O370" s="21">
        <v>52.567100000000003</v>
      </c>
      <c r="R370" s="6">
        <v>5980</v>
      </c>
      <c r="S370" s="21">
        <v>0.25</v>
      </c>
      <c r="T370" s="21">
        <v>0.1</v>
      </c>
      <c r="U370" s="21">
        <v>1467.2453</v>
      </c>
      <c r="V370" s="21">
        <v>703</v>
      </c>
      <c r="W370" s="21">
        <v>52.693800000000003</v>
      </c>
    </row>
    <row r="371" spans="2:23" x14ac:dyDescent="0.3">
      <c r="B371" s="6">
        <v>6180</v>
      </c>
      <c r="C371" s="21">
        <v>0.25</v>
      </c>
      <c r="D371" s="21">
        <v>0.1</v>
      </c>
      <c r="E371" s="21">
        <v>1455.8387</v>
      </c>
      <c r="F371" s="21">
        <v>703</v>
      </c>
      <c r="G371" s="21">
        <v>51.983600000000003</v>
      </c>
      <c r="J371" s="6">
        <v>6180</v>
      </c>
      <c r="K371" s="21">
        <v>0.25</v>
      </c>
      <c r="L371" s="21">
        <v>0.1</v>
      </c>
      <c r="M371" s="21">
        <v>1472.5295000000001</v>
      </c>
      <c r="N371" s="21">
        <v>703</v>
      </c>
      <c r="O371" s="21">
        <v>53.027799999999999</v>
      </c>
      <c r="R371" s="6">
        <v>6180</v>
      </c>
      <c r="S371" s="21">
        <v>0.25</v>
      </c>
      <c r="T371" s="21">
        <v>0.1</v>
      </c>
      <c r="U371" s="21">
        <v>1474.5005000000001</v>
      </c>
      <c r="V371" s="21">
        <v>703</v>
      </c>
      <c r="W371" s="21">
        <v>53.153199999999998</v>
      </c>
    </row>
    <row r="372" spans="2:23" x14ac:dyDescent="0.3">
      <c r="B372" s="6">
        <v>6380</v>
      </c>
      <c r="C372" s="21">
        <v>0.25</v>
      </c>
      <c r="D372" s="21">
        <v>0.1</v>
      </c>
      <c r="E372" s="21">
        <v>1462.3493000000001</v>
      </c>
      <c r="F372" s="21">
        <v>703</v>
      </c>
      <c r="G372" s="21">
        <v>52.387099999999997</v>
      </c>
      <c r="J372" s="6">
        <v>6380</v>
      </c>
      <c r="K372" s="21">
        <v>0.25</v>
      </c>
      <c r="L372" s="21">
        <v>0.1</v>
      </c>
      <c r="M372" s="21">
        <v>1478.6651999999999</v>
      </c>
      <c r="N372" s="21">
        <v>703</v>
      </c>
      <c r="O372" s="21">
        <v>53.419499999999999</v>
      </c>
      <c r="R372" s="6">
        <v>6380</v>
      </c>
      <c r="S372" s="21">
        <v>0.25</v>
      </c>
      <c r="T372" s="21">
        <v>0.1</v>
      </c>
      <c r="U372" s="21">
        <v>1480.6038000000001</v>
      </c>
      <c r="V372" s="21">
        <v>703</v>
      </c>
      <c r="W372" s="21">
        <v>53.5441</v>
      </c>
    </row>
    <row r="373" spans="2:23" x14ac:dyDescent="0.3">
      <c r="B373" s="6">
        <v>6580</v>
      </c>
      <c r="C373" s="21">
        <v>0.25</v>
      </c>
      <c r="D373" s="21">
        <v>0.1</v>
      </c>
      <c r="E373" s="21">
        <v>1467.8364999999999</v>
      </c>
      <c r="F373" s="21">
        <v>703</v>
      </c>
      <c r="G373" s="21">
        <v>52.731000000000002</v>
      </c>
      <c r="J373" s="6">
        <v>6580</v>
      </c>
      <c r="K373" s="21">
        <v>0.25</v>
      </c>
      <c r="L373" s="21">
        <v>0.1</v>
      </c>
      <c r="M373" s="21">
        <v>1483.8323</v>
      </c>
      <c r="N373" s="21">
        <v>703</v>
      </c>
      <c r="O373" s="21">
        <v>53.752600000000001</v>
      </c>
      <c r="R373" s="6">
        <v>6580</v>
      </c>
      <c r="S373" s="21">
        <v>0.25</v>
      </c>
      <c r="T373" s="21">
        <v>0.1</v>
      </c>
      <c r="U373" s="21">
        <v>1485.7369000000001</v>
      </c>
      <c r="V373" s="21">
        <v>703</v>
      </c>
      <c r="W373" s="21">
        <v>53.876100000000001</v>
      </c>
    </row>
    <row r="374" spans="2:23" x14ac:dyDescent="0.3">
      <c r="B374" s="6">
        <v>6780</v>
      </c>
      <c r="C374" s="21">
        <v>0.25</v>
      </c>
      <c r="D374" s="21">
        <v>0.1</v>
      </c>
      <c r="E374" s="21">
        <v>1472.4791</v>
      </c>
      <c r="F374" s="21">
        <v>703</v>
      </c>
      <c r="G374" s="21">
        <v>53.0246</v>
      </c>
      <c r="J374" s="6">
        <v>6780</v>
      </c>
      <c r="K374" s="21">
        <v>0.25</v>
      </c>
      <c r="L374" s="21">
        <v>0.1</v>
      </c>
      <c r="M374" s="21">
        <v>1488.1849</v>
      </c>
      <c r="N374" s="21">
        <v>703</v>
      </c>
      <c r="O374" s="21">
        <v>54.035400000000003</v>
      </c>
      <c r="R374" s="6">
        <v>6780</v>
      </c>
      <c r="S374" s="21">
        <v>0.25</v>
      </c>
      <c r="T374" s="21">
        <v>0.1</v>
      </c>
      <c r="U374" s="21">
        <v>1490.0535</v>
      </c>
      <c r="V374" s="21">
        <v>703</v>
      </c>
      <c r="W374" s="21">
        <v>54.157499999999999</v>
      </c>
    </row>
    <row r="375" spans="2:23" x14ac:dyDescent="0.3">
      <c r="B375" s="6">
        <v>6980</v>
      </c>
      <c r="C375" s="21">
        <v>0.25</v>
      </c>
      <c r="D375" s="21">
        <v>0.1</v>
      </c>
      <c r="E375" s="21">
        <v>1476.3960999999999</v>
      </c>
      <c r="F375" s="21">
        <v>703</v>
      </c>
      <c r="G375" s="21">
        <v>53.2742</v>
      </c>
      <c r="J375" s="6">
        <v>6980</v>
      </c>
      <c r="K375" s="21">
        <v>0.25</v>
      </c>
      <c r="L375" s="21">
        <v>0.1</v>
      </c>
      <c r="M375" s="21">
        <v>1491.8388</v>
      </c>
      <c r="N375" s="21">
        <v>703</v>
      </c>
      <c r="O375" s="21">
        <v>54.2744</v>
      </c>
      <c r="R375" s="6">
        <v>6980</v>
      </c>
      <c r="S375" s="21">
        <v>0.25</v>
      </c>
      <c r="T375" s="21">
        <v>0.1</v>
      </c>
      <c r="U375" s="21">
        <v>1493.6827000000001</v>
      </c>
      <c r="V375" s="21">
        <v>703</v>
      </c>
      <c r="W375" s="21">
        <v>54.395600000000002</v>
      </c>
    </row>
    <row r="376" spans="2:23" x14ac:dyDescent="0.3">
      <c r="B376" s="6">
        <v>7180</v>
      </c>
      <c r="C376" s="21">
        <v>0.25</v>
      </c>
      <c r="D376" s="21">
        <v>0.1</v>
      </c>
      <c r="E376" s="21">
        <v>1479.6895</v>
      </c>
      <c r="F376" s="21">
        <v>703</v>
      </c>
      <c r="G376" s="21">
        <v>53.485300000000002</v>
      </c>
      <c r="J376" s="6">
        <v>7180</v>
      </c>
      <c r="K376" s="21">
        <v>0.25</v>
      </c>
      <c r="L376" s="21">
        <v>0.1</v>
      </c>
      <c r="M376" s="21">
        <v>1494.9174</v>
      </c>
      <c r="N376" s="21">
        <v>703</v>
      </c>
      <c r="O376" s="21">
        <v>54.476900000000001</v>
      </c>
      <c r="R376" s="6">
        <v>7180</v>
      </c>
      <c r="S376" s="21">
        <v>0.25</v>
      </c>
      <c r="T376" s="21">
        <v>0.1</v>
      </c>
      <c r="U376" s="21">
        <v>1496.7337</v>
      </c>
      <c r="V376" s="21">
        <v>703</v>
      </c>
      <c r="W376" s="21">
        <v>54.596800000000002</v>
      </c>
    </row>
    <row r="377" spans="2:23" x14ac:dyDescent="0.3">
      <c r="B377" s="6">
        <v>7380</v>
      </c>
      <c r="C377" s="21">
        <v>0.25</v>
      </c>
      <c r="D377" s="21">
        <v>0.1</v>
      </c>
      <c r="E377" s="21">
        <v>1482.4686999999999</v>
      </c>
      <c r="F377" s="21">
        <v>703</v>
      </c>
      <c r="G377" s="21">
        <v>53.664400000000001</v>
      </c>
      <c r="J377" s="6">
        <v>7380</v>
      </c>
      <c r="K377" s="21">
        <v>0.25</v>
      </c>
      <c r="L377" s="21">
        <v>0.1</v>
      </c>
      <c r="M377" s="21">
        <v>1497.4992</v>
      </c>
      <c r="N377" s="21">
        <v>703</v>
      </c>
      <c r="O377" s="21">
        <v>54.647500000000001</v>
      </c>
      <c r="R377" s="6">
        <v>7380</v>
      </c>
      <c r="S377" s="21">
        <v>0.25</v>
      </c>
      <c r="T377" s="21">
        <v>0.1</v>
      </c>
      <c r="U377" s="21">
        <v>1499.2982</v>
      </c>
      <c r="V377" s="21">
        <v>703</v>
      </c>
      <c r="W377" s="21">
        <v>54.766800000000003</v>
      </c>
    </row>
    <row r="378" spans="2:23" x14ac:dyDescent="0.3">
      <c r="B378" s="6">
        <v>7580</v>
      </c>
      <c r="C378" s="21">
        <v>0.25</v>
      </c>
      <c r="D378" s="21">
        <v>0.1</v>
      </c>
      <c r="E378" s="21">
        <v>1484.8257000000001</v>
      </c>
      <c r="F378" s="21">
        <v>703</v>
      </c>
      <c r="G378" s="21">
        <v>53.817</v>
      </c>
      <c r="J378" s="6">
        <v>7580</v>
      </c>
      <c r="K378" s="21">
        <v>0.25</v>
      </c>
      <c r="L378" s="21">
        <v>0.1</v>
      </c>
      <c r="M378" s="21">
        <v>1499.6759</v>
      </c>
      <c r="N378" s="21">
        <v>703</v>
      </c>
      <c r="O378" s="21">
        <v>54.791800000000002</v>
      </c>
      <c r="R378" s="6">
        <v>7580</v>
      </c>
      <c r="S378" s="21">
        <v>0.25</v>
      </c>
      <c r="T378" s="21">
        <v>0.1</v>
      </c>
      <c r="U378" s="21">
        <v>1501.4538</v>
      </c>
      <c r="V378" s="21">
        <v>703</v>
      </c>
      <c r="W378" s="21">
        <v>54.9101</v>
      </c>
    </row>
    <row r="379" spans="2:23" x14ac:dyDescent="0.3">
      <c r="B379" s="6">
        <v>7780</v>
      </c>
      <c r="C379" s="21">
        <v>0.25</v>
      </c>
      <c r="D379" s="21">
        <v>0.1</v>
      </c>
      <c r="E379" s="21">
        <v>1486.8135</v>
      </c>
      <c r="F379" s="21">
        <v>703</v>
      </c>
      <c r="G379" s="21">
        <v>53.946100000000001</v>
      </c>
      <c r="J379" s="6">
        <v>7780</v>
      </c>
      <c r="K379" s="21">
        <v>0.25</v>
      </c>
      <c r="L379" s="21">
        <v>0.1</v>
      </c>
      <c r="M379" s="21">
        <v>1501.498</v>
      </c>
      <c r="N379" s="21">
        <v>703</v>
      </c>
      <c r="O379" s="21">
        <v>54.9131</v>
      </c>
      <c r="R379" s="6">
        <v>7780</v>
      </c>
      <c r="S379" s="21">
        <v>0.25</v>
      </c>
      <c r="T379" s="21">
        <v>0.1</v>
      </c>
      <c r="U379" s="21">
        <v>1503.2652</v>
      </c>
      <c r="V379" s="21">
        <v>703</v>
      </c>
      <c r="W379" s="21">
        <v>55.030999999999999</v>
      </c>
    </row>
    <row r="380" spans="2:23" x14ac:dyDescent="0.3">
      <c r="B380" s="6">
        <v>7980</v>
      </c>
      <c r="C380" s="21">
        <v>0.25</v>
      </c>
      <c r="D380" s="21">
        <v>0.1</v>
      </c>
      <c r="E380" s="21">
        <v>1488.472</v>
      </c>
      <c r="F380" s="21">
        <v>703</v>
      </c>
      <c r="G380" s="21">
        <v>54.054200000000002</v>
      </c>
      <c r="J380" s="6">
        <v>7980</v>
      </c>
      <c r="K380" s="21">
        <v>0.25</v>
      </c>
      <c r="L380" s="21">
        <v>0.1</v>
      </c>
      <c r="M380" s="21">
        <v>1503.0337</v>
      </c>
      <c r="N380" s="21">
        <v>703</v>
      </c>
      <c r="O380" s="21">
        <v>55.015500000000003</v>
      </c>
      <c r="R380" s="6">
        <v>7980</v>
      </c>
      <c r="S380" s="21">
        <v>0.25</v>
      </c>
      <c r="T380" s="21">
        <v>0.1</v>
      </c>
      <c r="U380" s="21">
        <v>1504.7874999999999</v>
      </c>
      <c r="V380" s="21">
        <v>703</v>
      </c>
      <c r="W380" s="21">
        <v>55.132800000000003</v>
      </c>
    </row>
    <row r="381" spans="2:23" x14ac:dyDescent="0.3">
      <c r="B381" s="6">
        <v>8180</v>
      </c>
      <c r="C381" s="21">
        <v>0.25</v>
      </c>
      <c r="D381" s="21">
        <v>0.1</v>
      </c>
      <c r="E381" s="21">
        <v>1489.8918000000001</v>
      </c>
      <c r="F381" s="21">
        <v>703</v>
      </c>
      <c r="G381" s="21">
        <v>54.146900000000002</v>
      </c>
      <c r="J381" s="6">
        <v>8180</v>
      </c>
      <c r="K381" s="21">
        <v>0.25</v>
      </c>
      <c r="L381" s="21">
        <v>0.1</v>
      </c>
      <c r="M381" s="21">
        <v>1504.3284000000001</v>
      </c>
      <c r="N381" s="21">
        <v>703</v>
      </c>
      <c r="O381" s="21">
        <v>55.101999999999997</v>
      </c>
      <c r="R381" s="6">
        <v>8180</v>
      </c>
      <c r="S381" s="21">
        <v>0.25</v>
      </c>
      <c r="T381" s="21">
        <v>0.1</v>
      </c>
      <c r="U381" s="21">
        <v>1506.0666000000001</v>
      </c>
      <c r="V381" s="21">
        <v>703</v>
      </c>
      <c r="W381" s="21">
        <v>55.218499999999999</v>
      </c>
    </row>
    <row r="382" spans="2:23" x14ac:dyDescent="0.3">
      <c r="B382" s="6">
        <v>8380</v>
      </c>
      <c r="C382" s="21">
        <v>0.25</v>
      </c>
      <c r="D382" s="21">
        <v>0.1</v>
      </c>
      <c r="E382" s="21">
        <v>1491.0685000000001</v>
      </c>
      <c r="F382" s="21">
        <v>703</v>
      </c>
      <c r="G382" s="21">
        <v>54.2239</v>
      </c>
      <c r="J382" s="6">
        <v>8380</v>
      </c>
      <c r="K382" s="21">
        <v>0.25</v>
      </c>
      <c r="L382" s="21">
        <v>0.1</v>
      </c>
      <c r="M382" s="21">
        <v>1505.4186</v>
      </c>
      <c r="N382" s="21">
        <v>703</v>
      </c>
      <c r="O382" s="21">
        <v>55.174999999999997</v>
      </c>
      <c r="R382" s="6">
        <v>8380</v>
      </c>
      <c r="S382" s="21">
        <v>0.25</v>
      </c>
      <c r="T382" s="21">
        <v>0.1</v>
      </c>
      <c r="U382" s="21">
        <v>1507.1414</v>
      </c>
      <c r="V382" s="21">
        <v>703</v>
      </c>
      <c r="W382" s="21">
        <v>55.290700000000001</v>
      </c>
    </row>
    <row r="383" spans="2:23" x14ac:dyDescent="0.3">
      <c r="B383" s="6">
        <v>8400</v>
      </c>
      <c r="C383" s="21">
        <v>0.25</v>
      </c>
      <c r="D383" s="21">
        <v>0.1</v>
      </c>
      <c r="E383" s="21">
        <v>1491.1926000000001</v>
      </c>
      <c r="F383" s="21">
        <v>703</v>
      </c>
      <c r="G383" s="21">
        <v>54.232100000000003</v>
      </c>
      <c r="J383" s="6">
        <v>8400</v>
      </c>
      <c r="K383" s="21">
        <v>0.25</v>
      </c>
      <c r="L383" s="21">
        <v>0.1</v>
      </c>
      <c r="M383" s="21">
        <v>1505.5322000000001</v>
      </c>
      <c r="N383" s="21">
        <v>703</v>
      </c>
      <c r="O383" s="21">
        <v>55.182699999999997</v>
      </c>
      <c r="R383" s="6">
        <v>8400</v>
      </c>
      <c r="S383" s="21">
        <v>0.25</v>
      </c>
      <c r="T383" s="21">
        <v>0.1</v>
      </c>
      <c r="U383" s="21">
        <v>1507.2487000000001</v>
      </c>
      <c r="V383" s="21">
        <v>703</v>
      </c>
      <c r="W383" s="21">
        <v>55.297899999999998</v>
      </c>
    </row>
    <row r="384" spans="2:23" x14ac:dyDescent="0.3">
      <c r="B384" s="6">
        <v>8600</v>
      </c>
      <c r="C384" s="21">
        <v>0.25</v>
      </c>
      <c r="D384" s="21">
        <v>0.1</v>
      </c>
      <c r="E384" s="21">
        <v>1489.4822999999999</v>
      </c>
      <c r="F384" s="21">
        <v>703</v>
      </c>
      <c r="G384" s="21">
        <v>54.120100000000001</v>
      </c>
      <c r="J384" s="6">
        <v>8600</v>
      </c>
      <c r="K384" s="21">
        <v>0.25</v>
      </c>
      <c r="L384" s="21">
        <v>0.1</v>
      </c>
      <c r="M384" s="21">
        <v>1499.8678</v>
      </c>
      <c r="N384" s="21">
        <v>703</v>
      </c>
      <c r="O384" s="21">
        <v>54.804600000000001</v>
      </c>
      <c r="R384" s="6">
        <v>8600</v>
      </c>
      <c r="S384" s="21">
        <v>0.25</v>
      </c>
      <c r="T384" s="21">
        <v>0.1</v>
      </c>
      <c r="U384" s="21">
        <v>1501.0616</v>
      </c>
      <c r="V384" s="21">
        <v>703</v>
      </c>
      <c r="W384" s="21">
        <v>54.884</v>
      </c>
    </row>
    <row r="385" spans="2:23" x14ac:dyDescent="0.3">
      <c r="B385" s="6">
        <v>8800</v>
      </c>
      <c r="C385" s="21">
        <v>0.25</v>
      </c>
      <c r="D385" s="21">
        <v>0.1</v>
      </c>
      <c r="E385" s="21">
        <v>1483.8888999999999</v>
      </c>
      <c r="F385" s="21">
        <v>703</v>
      </c>
      <c r="G385" s="21">
        <v>53.756300000000003</v>
      </c>
      <c r="J385" s="6">
        <v>8800</v>
      </c>
      <c r="K385" s="21">
        <v>0.25</v>
      </c>
      <c r="L385" s="21">
        <v>0.1</v>
      </c>
      <c r="M385" s="21">
        <v>1490.7013999999999</v>
      </c>
      <c r="N385" s="21">
        <v>703</v>
      </c>
      <c r="O385" s="21">
        <v>54.1999</v>
      </c>
      <c r="R385" s="6">
        <v>8800</v>
      </c>
      <c r="S385" s="21">
        <v>0.25</v>
      </c>
      <c r="T385" s="21">
        <v>0.1</v>
      </c>
      <c r="U385" s="21">
        <v>1491.4440999999999</v>
      </c>
      <c r="V385" s="21">
        <v>703</v>
      </c>
      <c r="W385" s="21">
        <v>54.248600000000003</v>
      </c>
    </row>
    <row r="386" spans="2:23" x14ac:dyDescent="0.3">
      <c r="B386" s="6">
        <v>9000</v>
      </c>
      <c r="C386" s="21">
        <v>0.25</v>
      </c>
      <c r="D386" s="21">
        <v>0.1</v>
      </c>
      <c r="E386" s="21">
        <v>1477.3855000000001</v>
      </c>
      <c r="F386" s="21">
        <v>703</v>
      </c>
      <c r="G386" s="21">
        <v>53.337499999999999</v>
      </c>
      <c r="J386" s="6">
        <v>9000</v>
      </c>
      <c r="K386" s="21">
        <v>0.25</v>
      </c>
      <c r="L386" s="21">
        <v>0.1</v>
      </c>
      <c r="M386" s="21">
        <v>1481.0759</v>
      </c>
      <c r="N386" s="21">
        <v>703</v>
      </c>
      <c r="O386" s="21">
        <v>53.574599999999997</v>
      </c>
      <c r="R386" s="6">
        <v>9000</v>
      </c>
      <c r="S386" s="21">
        <v>0.25</v>
      </c>
      <c r="T386" s="21">
        <v>0.1</v>
      </c>
      <c r="U386" s="21">
        <v>1481.4309000000001</v>
      </c>
      <c r="V386" s="21">
        <v>703</v>
      </c>
      <c r="W386" s="21">
        <v>53.5974</v>
      </c>
    </row>
    <row r="387" spans="2:23" x14ac:dyDescent="0.3">
      <c r="B387" s="6">
        <v>9200</v>
      </c>
      <c r="C387" s="21">
        <v>0.25</v>
      </c>
      <c r="D387" s="21">
        <v>0.1</v>
      </c>
      <c r="E387" s="21">
        <v>1471.1596</v>
      </c>
      <c r="F387" s="21">
        <v>703</v>
      </c>
      <c r="G387" s="21">
        <v>52.940899999999999</v>
      </c>
      <c r="J387" s="6">
        <v>9200</v>
      </c>
      <c r="K387" s="21">
        <v>0.25</v>
      </c>
      <c r="L387" s="21">
        <v>0.1</v>
      </c>
      <c r="M387" s="21">
        <v>1472.1564000000001</v>
      </c>
      <c r="N387" s="21">
        <v>703</v>
      </c>
      <c r="O387" s="21">
        <v>53.004100000000001</v>
      </c>
      <c r="R387" s="6">
        <v>9200</v>
      </c>
      <c r="S387" s="21">
        <v>0.25</v>
      </c>
      <c r="T387" s="21">
        <v>0.1</v>
      </c>
      <c r="U387" s="21">
        <v>1472.1790000000001</v>
      </c>
      <c r="V387" s="21">
        <v>703</v>
      </c>
      <c r="W387" s="21">
        <v>53.005499999999998</v>
      </c>
    </row>
    <row r="388" spans="2:23" x14ac:dyDescent="0.3">
      <c r="B388" s="6">
        <v>9400</v>
      </c>
      <c r="C388" s="21">
        <v>0.25</v>
      </c>
      <c r="D388" s="21">
        <v>0.1</v>
      </c>
      <c r="E388" s="21">
        <v>1465.595</v>
      </c>
      <c r="F388" s="21">
        <v>703</v>
      </c>
      <c r="G388" s="21">
        <v>52.5901</v>
      </c>
      <c r="J388" s="6">
        <v>9400</v>
      </c>
      <c r="K388" s="21">
        <v>0.25</v>
      </c>
      <c r="L388" s="21">
        <v>0.1</v>
      </c>
      <c r="M388" s="21">
        <v>1464.2363</v>
      </c>
      <c r="N388" s="21">
        <v>703</v>
      </c>
      <c r="O388" s="21">
        <v>52.505000000000003</v>
      </c>
      <c r="R388" s="6">
        <v>9400</v>
      </c>
      <c r="S388" s="21">
        <v>0.25</v>
      </c>
      <c r="T388" s="21">
        <v>0.1</v>
      </c>
      <c r="U388" s="21">
        <v>1463.9771000000001</v>
      </c>
      <c r="V388" s="21">
        <v>703</v>
      </c>
      <c r="W388" s="21">
        <v>52.488799999999998</v>
      </c>
    </row>
    <row r="389" spans="2:23" x14ac:dyDescent="0.3">
      <c r="B389" s="6">
        <v>9600</v>
      </c>
      <c r="C389" s="21">
        <v>0.25</v>
      </c>
      <c r="D389" s="21">
        <v>0.1</v>
      </c>
      <c r="E389" s="21">
        <v>1460.7155</v>
      </c>
      <c r="F389" s="21">
        <v>703</v>
      </c>
      <c r="G389" s="21">
        <v>52.285400000000003</v>
      </c>
      <c r="J389" s="6">
        <v>9600</v>
      </c>
      <c r="K389" s="21">
        <v>0.25</v>
      </c>
      <c r="L389" s="21">
        <v>0.1</v>
      </c>
      <c r="M389" s="21">
        <v>1457.3282999999999</v>
      </c>
      <c r="N389" s="21">
        <v>703</v>
      </c>
      <c r="O389" s="21">
        <v>52.075499999999998</v>
      </c>
      <c r="R389" s="6">
        <v>9600</v>
      </c>
      <c r="S389" s="21">
        <v>0.25</v>
      </c>
      <c r="T389" s="21">
        <v>0.1</v>
      </c>
      <c r="U389" s="21">
        <v>1456.8279</v>
      </c>
      <c r="V389" s="21">
        <v>703</v>
      </c>
      <c r="W389" s="21">
        <v>52.044600000000003</v>
      </c>
    </row>
    <row r="390" spans="2:23" x14ac:dyDescent="0.3">
      <c r="B390" s="6">
        <v>9800</v>
      </c>
      <c r="C390" s="21">
        <v>0.25</v>
      </c>
      <c r="D390" s="21">
        <v>0.1</v>
      </c>
      <c r="E390" s="21">
        <v>1456.5099</v>
      </c>
      <c r="F390" s="21">
        <v>703</v>
      </c>
      <c r="G390" s="21">
        <v>52.024900000000002</v>
      </c>
      <c r="J390" s="6">
        <v>9800</v>
      </c>
      <c r="K390" s="21">
        <v>0.25</v>
      </c>
      <c r="L390" s="21">
        <v>0.1</v>
      </c>
      <c r="M390" s="21">
        <v>1451.3543</v>
      </c>
      <c r="N390" s="21">
        <v>703</v>
      </c>
      <c r="O390" s="21">
        <v>51.708399999999997</v>
      </c>
      <c r="R390" s="6">
        <v>9800</v>
      </c>
      <c r="S390" s="21">
        <v>0.25</v>
      </c>
      <c r="T390" s="21">
        <v>0.1</v>
      </c>
      <c r="U390" s="21">
        <v>1450.6445000000001</v>
      </c>
      <c r="V390" s="21">
        <v>703</v>
      </c>
      <c r="W390" s="21">
        <v>51.665100000000002</v>
      </c>
    </row>
    <row r="391" spans="2:23" x14ac:dyDescent="0.3">
      <c r="B391" s="6">
        <v>10000</v>
      </c>
      <c r="C391" s="21">
        <v>0.25</v>
      </c>
      <c r="D391" s="21">
        <v>0.1</v>
      </c>
      <c r="E391" s="21">
        <v>1452.8751999999999</v>
      </c>
      <c r="F391" s="21">
        <v>703</v>
      </c>
      <c r="G391" s="21">
        <v>51.801499999999997</v>
      </c>
      <c r="J391" s="6">
        <v>10000</v>
      </c>
      <c r="K391" s="21">
        <v>0.25</v>
      </c>
      <c r="L391" s="21">
        <v>0.1</v>
      </c>
      <c r="M391" s="21">
        <v>1446.2134000000001</v>
      </c>
      <c r="N391" s="21">
        <v>703</v>
      </c>
      <c r="O391" s="21">
        <v>51.395899999999997</v>
      </c>
      <c r="R391" s="6">
        <v>10000</v>
      </c>
      <c r="S391" s="21">
        <v>0.25</v>
      </c>
      <c r="T391" s="21">
        <v>0.1</v>
      </c>
      <c r="U391" s="21">
        <v>1445.3253</v>
      </c>
      <c r="V391" s="21">
        <v>703</v>
      </c>
      <c r="W391" s="21">
        <v>51.342199999999998</v>
      </c>
    </row>
    <row r="392" spans="2:23" x14ac:dyDescent="0.3">
      <c r="B392" s="6">
        <v>10200</v>
      </c>
      <c r="C392" s="21">
        <v>0.25</v>
      </c>
      <c r="D392" s="21">
        <v>0.1</v>
      </c>
      <c r="E392" s="21">
        <v>1449.7673</v>
      </c>
      <c r="F392" s="21">
        <v>703</v>
      </c>
      <c r="G392" s="21">
        <v>51.611600000000003</v>
      </c>
      <c r="J392" s="6">
        <v>10200</v>
      </c>
      <c r="K392" s="21">
        <v>0.25</v>
      </c>
      <c r="L392" s="21">
        <v>0.1</v>
      </c>
      <c r="M392" s="21">
        <v>1441.8037999999999</v>
      </c>
      <c r="N392" s="21">
        <v>703</v>
      </c>
      <c r="O392" s="21">
        <v>51.130299999999998</v>
      </c>
      <c r="R392" s="6">
        <v>10200</v>
      </c>
      <c r="S392" s="21">
        <v>0.25</v>
      </c>
      <c r="T392" s="21">
        <v>0.1</v>
      </c>
      <c r="U392" s="21">
        <v>1440.7563</v>
      </c>
      <c r="V392" s="21">
        <v>703</v>
      </c>
      <c r="W392" s="21">
        <v>51.067500000000003</v>
      </c>
    </row>
    <row r="393" spans="2:23" x14ac:dyDescent="0.3">
      <c r="B393" s="6">
        <v>10400</v>
      </c>
      <c r="C393" s="21">
        <v>0.25</v>
      </c>
      <c r="D393" s="21">
        <v>0.1</v>
      </c>
      <c r="E393" s="21">
        <v>1447.1098999999999</v>
      </c>
      <c r="F393" s="21">
        <v>703</v>
      </c>
      <c r="G393" s="21">
        <v>51.450200000000002</v>
      </c>
      <c r="J393" s="6">
        <v>10400</v>
      </c>
      <c r="K393" s="21">
        <v>0.25</v>
      </c>
      <c r="L393" s="21">
        <v>0.1</v>
      </c>
      <c r="M393" s="21">
        <v>1438.0164</v>
      </c>
      <c r="N393" s="21">
        <v>703</v>
      </c>
      <c r="O393" s="21">
        <v>50.904000000000003</v>
      </c>
      <c r="R393" s="6">
        <v>10400</v>
      </c>
      <c r="S393" s="21">
        <v>0.25</v>
      </c>
      <c r="T393" s="21">
        <v>0.1</v>
      </c>
      <c r="U393" s="21">
        <v>1436.8378</v>
      </c>
      <c r="V393" s="21">
        <v>703</v>
      </c>
      <c r="W393" s="21">
        <v>50.8339</v>
      </c>
    </row>
    <row r="394" spans="2:23" x14ac:dyDescent="0.3">
      <c r="B394" s="6">
        <v>10600</v>
      </c>
      <c r="C394" s="21">
        <v>0.25</v>
      </c>
      <c r="D394" s="21">
        <v>0.1</v>
      </c>
      <c r="E394" s="21">
        <v>1444.8323</v>
      </c>
      <c r="F394" s="21">
        <v>703</v>
      </c>
      <c r="G394" s="21">
        <v>51.312399999999997</v>
      </c>
      <c r="J394" s="6">
        <v>10600</v>
      </c>
      <c r="K394" s="21">
        <v>0.25</v>
      </c>
      <c r="L394" s="21">
        <v>0.1</v>
      </c>
      <c r="M394" s="21">
        <v>1434.7666999999999</v>
      </c>
      <c r="N394" s="21">
        <v>703</v>
      </c>
      <c r="O394" s="21">
        <v>50.711100000000002</v>
      </c>
      <c r="R394" s="6">
        <v>10600</v>
      </c>
      <c r="S394" s="21">
        <v>0.25</v>
      </c>
      <c r="T394" s="21">
        <v>0.1</v>
      </c>
      <c r="U394" s="21">
        <v>1433.4813999999999</v>
      </c>
      <c r="V394" s="21">
        <v>703</v>
      </c>
      <c r="W394" s="21">
        <v>50.635199999999998</v>
      </c>
    </row>
    <row r="395" spans="2:23" x14ac:dyDescent="0.3">
      <c r="B395" s="6">
        <v>10800</v>
      </c>
      <c r="C395" s="21">
        <v>0.25</v>
      </c>
      <c r="D395" s="21">
        <v>0.1</v>
      </c>
      <c r="E395" s="21">
        <v>1442.9023</v>
      </c>
      <c r="F395" s="21">
        <v>703</v>
      </c>
      <c r="G395" s="21">
        <v>51.196199999999997</v>
      </c>
      <c r="J395" s="6">
        <v>10800</v>
      </c>
      <c r="K395" s="21">
        <v>0.25</v>
      </c>
      <c r="L395" s="21">
        <v>0.1</v>
      </c>
      <c r="M395" s="21">
        <v>1431.9962</v>
      </c>
      <c r="N395" s="21">
        <v>703</v>
      </c>
      <c r="O395" s="21">
        <v>50.547800000000002</v>
      </c>
      <c r="R395" s="6">
        <v>10800</v>
      </c>
      <c r="S395" s="21">
        <v>0.25</v>
      </c>
      <c r="T395" s="21">
        <v>0.1</v>
      </c>
      <c r="U395" s="21">
        <v>1430.6079999999999</v>
      </c>
      <c r="V395" s="21">
        <v>703</v>
      </c>
      <c r="W395" s="21">
        <v>50.466200000000001</v>
      </c>
    </row>
    <row r="396" spans="2:23" x14ac:dyDescent="0.3">
      <c r="B396" s="6">
        <v>11000</v>
      </c>
      <c r="C396" s="21">
        <v>0.25</v>
      </c>
      <c r="D396" s="21">
        <v>0.1</v>
      </c>
      <c r="E396" s="21">
        <v>1441.2303999999999</v>
      </c>
      <c r="F396" s="21">
        <v>703</v>
      </c>
      <c r="G396" s="21">
        <v>51.0959</v>
      </c>
      <c r="J396" s="6">
        <v>11000</v>
      </c>
      <c r="K396" s="21">
        <v>0.25</v>
      </c>
      <c r="L396" s="21">
        <v>0.1</v>
      </c>
      <c r="M396" s="21">
        <v>1429.624</v>
      </c>
      <c r="N396" s="21">
        <v>703</v>
      </c>
      <c r="O396" s="21">
        <v>50.4086</v>
      </c>
      <c r="R396" s="6">
        <v>11000</v>
      </c>
      <c r="S396" s="21">
        <v>0.25</v>
      </c>
      <c r="T396" s="21">
        <v>0.1</v>
      </c>
      <c r="U396" s="21">
        <v>1428.1495</v>
      </c>
      <c r="V396" s="21">
        <v>703</v>
      </c>
      <c r="W396" s="21">
        <v>50.322400000000002</v>
      </c>
    </row>
    <row r="397" spans="2:23" x14ac:dyDescent="0.3">
      <c r="B397" s="6">
        <v>11200</v>
      </c>
      <c r="C397" s="21">
        <v>0.25</v>
      </c>
      <c r="D397" s="21">
        <v>0.1</v>
      </c>
      <c r="E397" s="21">
        <v>1439.8253999999999</v>
      </c>
      <c r="F397" s="21">
        <v>703</v>
      </c>
      <c r="G397" s="21">
        <v>51.011800000000001</v>
      </c>
      <c r="J397" s="6">
        <v>11200</v>
      </c>
      <c r="K397" s="21">
        <v>0.25</v>
      </c>
      <c r="L397" s="21">
        <v>0.1</v>
      </c>
      <c r="M397" s="21">
        <v>1427.5934999999999</v>
      </c>
      <c r="N397" s="21">
        <v>703</v>
      </c>
      <c r="O397" s="21">
        <v>50.29</v>
      </c>
      <c r="R397" s="6">
        <v>11200</v>
      </c>
      <c r="S397" s="21">
        <v>0.25</v>
      </c>
      <c r="T397" s="21">
        <v>0.1</v>
      </c>
      <c r="U397" s="21">
        <v>1426.0463</v>
      </c>
      <c r="V397" s="21">
        <v>703</v>
      </c>
      <c r="W397" s="21">
        <v>50.2</v>
      </c>
    </row>
    <row r="398" spans="2:23" x14ac:dyDescent="0.3">
      <c r="B398" s="6">
        <v>11400</v>
      </c>
      <c r="C398" s="21">
        <v>0.25</v>
      </c>
      <c r="D398" s="21">
        <v>0.1</v>
      </c>
      <c r="E398" s="21">
        <v>1438.6068</v>
      </c>
      <c r="F398" s="21">
        <v>703</v>
      </c>
      <c r="G398" s="21">
        <v>50.939100000000003</v>
      </c>
      <c r="J398" s="6">
        <v>11400</v>
      </c>
      <c r="K398" s="21">
        <v>0.25</v>
      </c>
      <c r="L398" s="21">
        <v>0.1</v>
      </c>
      <c r="M398" s="21">
        <v>1425.8576</v>
      </c>
      <c r="N398" s="21">
        <v>703</v>
      </c>
      <c r="O398" s="21">
        <v>50.189100000000003</v>
      </c>
      <c r="R398" s="6">
        <v>11400</v>
      </c>
      <c r="S398" s="21">
        <v>0.25</v>
      </c>
      <c r="T398" s="21">
        <v>0.1</v>
      </c>
      <c r="U398" s="21">
        <v>1424.2473</v>
      </c>
      <c r="V398" s="21">
        <v>703</v>
      </c>
      <c r="W398" s="21">
        <v>50.095700000000001</v>
      </c>
    </row>
    <row r="399" spans="2:23" x14ac:dyDescent="0.3">
      <c r="B399" s="6">
        <v>11600</v>
      </c>
      <c r="C399" s="21">
        <v>0.25</v>
      </c>
      <c r="D399" s="21">
        <v>0.1</v>
      </c>
      <c r="E399" s="21">
        <v>1437.5913</v>
      </c>
      <c r="F399" s="21">
        <v>703</v>
      </c>
      <c r="G399" s="21">
        <v>50.878700000000002</v>
      </c>
      <c r="J399" s="6">
        <v>11600</v>
      </c>
      <c r="K399" s="21">
        <v>0.25</v>
      </c>
      <c r="L399" s="21">
        <v>0.1</v>
      </c>
      <c r="M399" s="21">
        <v>1424.3742999999999</v>
      </c>
      <c r="N399" s="21">
        <v>703</v>
      </c>
      <c r="O399" s="21">
        <v>50.103099999999998</v>
      </c>
      <c r="R399" s="6">
        <v>11600</v>
      </c>
      <c r="S399" s="21">
        <v>0.25</v>
      </c>
      <c r="T399" s="21">
        <v>0.1</v>
      </c>
      <c r="U399" s="21">
        <v>1422.7022999999999</v>
      </c>
      <c r="V399" s="21">
        <v>703</v>
      </c>
      <c r="W399" s="21">
        <v>50.006500000000003</v>
      </c>
    </row>
    <row r="400" spans="2:23" x14ac:dyDescent="0.3">
      <c r="B400" s="6">
        <v>11800</v>
      </c>
      <c r="C400" s="21">
        <v>0.25</v>
      </c>
      <c r="D400" s="21">
        <v>0.1</v>
      </c>
      <c r="E400" s="21">
        <v>1436.7052000000001</v>
      </c>
      <c r="F400" s="21">
        <v>703</v>
      </c>
      <c r="G400" s="21">
        <v>50.826000000000001</v>
      </c>
      <c r="J400" s="6">
        <v>11800</v>
      </c>
      <c r="K400" s="21">
        <v>0.25</v>
      </c>
      <c r="L400" s="21">
        <v>0.1</v>
      </c>
      <c r="M400" s="21">
        <v>1423.0938000000001</v>
      </c>
      <c r="N400" s="21">
        <v>703</v>
      </c>
      <c r="O400" s="21">
        <v>50.029000000000003</v>
      </c>
      <c r="R400" s="6">
        <v>11800</v>
      </c>
      <c r="S400" s="21">
        <v>0.25</v>
      </c>
      <c r="T400" s="21">
        <v>0.1</v>
      </c>
      <c r="U400" s="21">
        <v>1421.3806</v>
      </c>
      <c r="V400" s="21">
        <v>703</v>
      </c>
      <c r="W400" s="21">
        <v>49.930300000000003</v>
      </c>
    </row>
    <row r="401" spans="2:23" x14ac:dyDescent="0.3">
      <c r="B401" s="6">
        <v>12000</v>
      </c>
      <c r="C401" s="21">
        <v>0.25</v>
      </c>
      <c r="D401" s="21">
        <v>0.1</v>
      </c>
      <c r="E401" s="21">
        <v>1435.971</v>
      </c>
      <c r="F401" s="21">
        <v>703</v>
      </c>
      <c r="G401" s="21">
        <v>50.782400000000003</v>
      </c>
      <c r="J401" s="6">
        <v>12000</v>
      </c>
      <c r="K401" s="21">
        <v>0.25</v>
      </c>
      <c r="L401" s="21">
        <v>0.1</v>
      </c>
      <c r="M401" s="21">
        <v>1422.0032000000001</v>
      </c>
      <c r="N401" s="21">
        <v>703</v>
      </c>
      <c r="O401" s="21">
        <v>49.966200000000001</v>
      </c>
      <c r="R401" s="6">
        <v>12000</v>
      </c>
      <c r="S401" s="21">
        <v>0.25</v>
      </c>
      <c r="T401" s="21">
        <v>0.1</v>
      </c>
      <c r="U401" s="21">
        <v>1420.2501999999999</v>
      </c>
      <c r="V401" s="21">
        <v>703</v>
      </c>
      <c r="W401" s="21">
        <v>49.865400000000001</v>
      </c>
    </row>
    <row r="402" spans="2:23" x14ac:dyDescent="0.3">
      <c r="B402" s="6">
        <v>12200</v>
      </c>
      <c r="C402" s="21">
        <v>0.25</v>
      </c>
      <c r="D402" s="21">
        <v>0.1</v>
      </c>
      <c r="E402" s="21">
        <v>1435.3197</v>
      </c>
      <c r="F402" s="21">
        <v>703</v>
      </c>
      <c r="G402" s="21">
        <v>50.743899999999996</v>
      </c>
      <c r="J402" s="6">
        <v>12200</v>
      </c>
      <c r="K402" s="21">
        <v>0.25</v>
      </c>
      <c r="L402" s="21">
        <v>0.1</v>
      </c>
      <c r="M402" s="21">
        <v>1421.0758000000001</v>
      </c>
      <c r="N402" s="21">
        <v>703</v>
      </c>
      <c r="O402" s="21">
        <v>49.912799999999997</v>
      </c>
      <c r="R402" s="6">
        <v>12200</v>
      </c>
      <c r="S402" s="21">
        <v>0.25</v>
      </c>
      <c r="T402" s="21">
        <v>0.1</v>
      </c>
      <c r="U402" s="21">
        <v>1419.2829999999999</v>
      </c>
      <c r="V402" s="21">
        <v>703</v>
      </c>
      <c r="W402" s="21">
        <v>49.81</v>
      </c>
    </row>
    <row r="403" spans="2:23" x14ac:dyDescent="0.3">
      <c r="B403" s="6">
        <v>12400</v>
      </c>
      <c r="C403" s="21">
        <v>0.25</v>
      </c>
      <c r="D403" s="21">
        <v>0.1</v>
      </c>
      <c r="E403" s="21">
        <v>1434.7784999999999</v>
      </c>
      <c r="F403" s="21">
        <v>703</v>
      </c>
      <c r="G403" s="21">
        <v>50.711799999999997</v>
      </c>
      <c r="J403" s="6">
        <v>12400</v>
      </c>
      <c r="K403" s="21">
        <v>0.25</v>
      </c>
      <c r="L403" s="21">
        <v>0.1</v>
      </c>
      <c r="M403" s="21">
        <v>1420.2753</v>
      </c>
      <c r="N403" s="21">
        <v>703</v>
      </c>
      <c r="O403" s="21">
        <v>49.866799999999998</v>
      </c>
      <c r="R403" s="6">
        <v>12400</v>
      </c>
      <c r="S403" s="21">
        <v>0.25</v>
      </c>
      <c r="T403" s="21">
        <v>0.1</v>
      </c>
      <c r="U403" s="21">
        <v>1418.4558</v>
      </c>
      <c r="V403" s="21">
        <v>703</v>
      </c>
      <c r="W403" s="21">
        <v>49.762599999999999</v>
      </c>
    </row>
    <row r="404" spans="2:23" x14ac:dyDescent="0.3">
      <c r="B404" s="6">
        <v>12600</v>
      </c>
      <c r="C404" s="21">
        <v>0.25</v>
      </c>
      <c r="D404" s="21">
        <v>0.1</v>
      </c>
      <c r="E404" s="21">
        <v>1434.3110999999999</v>
      </c>
      <c r="F404" s="21">
        <v>703</v>
      </c>
      <c r="G404" s="21">
        <v>50.684199999999997</v>
      </c>
      <c r="J404" s="6">
        <v>12600</v>
      </c>
      <c r="K404" s="21">
        <v>0.25</v>
      </c>
      <c r="L404" s="21">
        <v>0.1</v>
      </c>
      <c r="M404" s="21">
        <v>1419.5847000000001</v>
      </c>
      <c r="N404" s="21">
        <v>703</v>
      </c>
      <c r="O404" s="21">
        <v>49.827199999999998</v>
      </c>
      <c r="R404" s="6">
        <v>12600</v>
      </c>
      <c r="S404" s="21">
        <v>0.25</v>
      </c>
      <c r="T404" s="21">
        <v>0.1</v>
      </c>
      <c r="U404" s="21">
        <v>1417.748</v>
      </c>
      <c r="V404" s="21">
        <v>703</v>
      </c>
      <c r="W404" s="21">
        <v>49.722200000000001</v>
      </c>
    </row>
    <row r="405" spans="2:23" x14ac:dyDescent="0.3">
      <c r="B405" s="6">
        <v>12800</v>
      </c>
      <c r="C405" s="21">
        <v>0.25</v>
      </c>
      <c r="D405" s="21">
        <v>0.1</v>
      </c>
      <c r="E405" s="21">
        <v>1433.9146000000001</v>
      </c>
      <c r="F405" s="21">
        <v>703</v>
      </c>
      <c r="G405" s="21">
        <v>50.660800000000002</v>
      </c>
      <c r="J405" s="6">
        <v>12800</v>
      </c>
      <c r="K405" s="21">
        <v>0.25</v>
      </c>
      <c r="L405" s="21">
        <v>0.1</v>
      </c>
      <c r="M405" s="21">
        <v>1419.0051000000001</v>
      </c>
      <c r="N405" s="21">
        <v>703</v>
      </c>
      <c r="O405" s="21">
        <v>49.793999999999997</v>
      </c>
      <c r="R405" s="6">
        <v>12800</v>
      </c>
      <c r="S405" s="21">
        <v>0.25</v>
      </c>
      <c r="T405" s="21">
        <v>0.1</v>
      </c>
      <c r="U405" s="21">
        <v>1417.1429000000001</v>
      </c>
      <c r="V405" s="21">
        <v>703</v>
      </c>
      <c r="W405" s="21">
        <v>49.6877</v>
      </c>
    </row>
    <row r="406" spans="2:23" x14ac:dyDescent="0.3">
      <c r="B406" s="6">
        <v>13000</v>
      </c>
      <c r="C406" s="21">
        <v>0.25</v>
      </c>
      <c r="D406" s="21">
        <v>0.1</v>
      </c>
      <c r="E406" s="21">
        <v>1433.5864999999999</v>
      </c>
      <c r="F406" s="21">
        <v>703</v>
      </c>
      <c r="G406" s="21">
        <v>50.641399999999997</v>
      </c>
      <c r="J406" s="6">
        <v>13000</v>
      </c>
      <c r="K406" s="21">
        <v>0.25</v>
      </c>
      <c r="L406" s="21">
        <v>0.1</v>
      </c>
      <c r="M406" s="21">
        <v>1418.5073</v>
      </c>
      <c r="N406" s="21">
        <v>703</v>
      </c>
      <c r="O406" s="21">
        <v>49.765599999999999</v>
      </c>
      <c r="R406" s="6">
        <v>13000</v>
      </c>
      <c r="S406" s="21">
        <v>0.25</v>
      </c>
      <c r="T406" s="21">
        <v>0.1</v>
      </c>
      <c r="U406" s="21">
        <v>1416.6252999999999</v>
      </c>
      <c r="V406" s="21">
        <v>703</v>
      </c>
      <c r="W406" s="21">
        <v>49.658200000000001</v>
      </c>
    </row>
    <row r="407" spans="2:23" x14ac:dyDescent="0.3">
      <c r="B407" s="6">
        <v>13200</v>
      </c>
      <c r="C407" s="21">
        <v>0.25</v>
      </c>
      <c r="D407" s="21">
        <v>0.1</v>
      </c>
      <c r="E407" s="21">
        <v>1433.2929999999999</v>
      </c>
      <c r="F407" s="21">
        <v>703</v>
      </c>
      <c r="G407" s="21">
        <v>50.624099999999999</v>
      </c>
      <c r="J407" s="6">
        <v>13200</v>
      </c>
      <c r="K407" s="21">
        <v>0.25</v>
      </c>
      <c r="L407" s="21">
        <v>0.1</v>
      </c>
      <c r="M407" s="21">
        <v>1418.0816</v>
      </c>
      <c r="N407" s="21">
        <v>703</v>
      </c>
      <c r="O407" s="21">
        <v>49.741199999999999</v>
      </c>
      <c r="R407" s="6">
        <v>13200</v>
      </c>
      <c r="S407" s="21">
        <v>0.25</v>
      </c>
      <c r="T407" s="21">
        <v>0.1</v>
      </c>
      <c r="U407" s="21">
        <v>1416.1763000000001</v>
      </c>
      <c r="V407" s="21">
        <v>703</v>
      </c>
      <c r="W407" s="21">
        <v>49.6327</v>
      </c>
    </row>
    <row r="408" spans="2:23" x14ac:dyDescent="0.3">
      <c r="B408" s="6">
        <v>13400</v>
      </c>
      <c r="C408" s="21">
        <v>0.25</v>
      </c>
      <c r="D408" s="21">
        <v>0.1</v>
      </c>
      <c r="E408" s="21">
        <v>1433.0651</v>
      </c>
      <c r="F408" s="21">
        <v>703</v>
      </c>
      <c r="G408" s="21">
        <v>50.610700000000001</v>
      </c>
      <c r="J408" s="6">
        <v>13400</v>
      </c>
      <c r="K408" s="21">
        <v>0.25</v>
      </c>
      <c r="L408" s="21">
        <v>0.1</v>
      </c>
      <c r="M408" s="21">
        <v>1417.7040999999999</v>
      </c>
      <c r="N408" s="21">
        <v>703</v>
      </c>
      <c r="O408" s="21">
        <v>49.719700000000003</v>
      </c>
      <c r="R408" s="6">
        <v>13400</v>
      </c>
      <c r="S408" s="21">
        <v>0.25</v>
      </c>
      <c r="T408" s="21">
        <v>0.1</v>
      </c>
      <c r="U408" s="21">
        <v>1415.7926</v>
      </c>
      <c r="V408" s="21">
        <v>703</v>
      </c>
      <c r="W408" s="21">
        <v>49.610799999999998</v>
      </c>
    </row>
    <row r="409" spans="2:23" x14ac:dyDescent="0.3">
      <c r="B409" s="6">
        <v>13600</v>
      </c>
      <c r="C409" s="21">
        <v>0.25</v>
      </c>
      <c r="D409" s="21">
        <v>0.1</v>
      </c>
      <c r="E409" s="21">
        <v>1432.8397</v>
      </c>
      <c r="F409" s="21">
        <v>703</v>
      </c>
      <c r="G409" s="21">
        <v>50.5974</v>
      </c>
      <c r="J409" s="6">
        <v>13600</v>
      </c>
      <c r="K409" s="21">
        <v>0.25</v>
      </c>
      <c r="L409" s="21">
        <v>0.1</v>
      </c>
      <c r="M409" s="21">
        <v>1417.3842</v>
      </c>
      <c r="N409" s="21">
        <v>703</v>
      </c>
      <c r="O409" s="21">
        <v>49.701500000000003</v>
      </c>
      <c r="R409" s="6">
        <v>13600</v>
      </c>
      <c r="S409" s="21">
        <v>0.25</v>
      </c>
      <c r="T409" s="21">
        <v>0.1</v>
      </c>
      <c r="U409" s="21">
        <v>1415.4648</v>
      </c>
      <c r="V409" s="21">
        <v>703</v>
      </c>
      <c r="W409" s="21">
        <v>49.592199999999998</v>
      </c>
    </row>
    <row r="410" spans="2:23" x14ac:dyDescent="0.3">
      <c r="B410" s="6">
        <v>13800</v>
      </c>
      <c r="C410" s="21">
        <v>0.25</v>
      </c>
      <c r="D410" s="21">
        <v>0.1</v>
      </c>
      <c r="E410" s="21">
        <v>1432.6783</v>
      </c>
      <c r="F410" s="21">
        <v>703</v>
      </c>
      <c r="G410" s="21">
        <v>50.587899999999998</v>
      </c>
      <c r="J410" s="6">
        <v>13800</v>
      </c>
      <c r="K410" s="21">
        <v>0.25</v>
      </c>
      <c r="L410" s="21">
        <v>0.1</v>
      </c>
      <c r="M410" s="21">
        <v>1417.1159</v>
      </c>
      <c r="N410" s="21">
        <v>703</v>
      </c>
      <c r="O410" s="21">
        <v>49.686199999999999</v>
      </c>
      <c r="R410" s="6">
        <v>13800</v>
      </c>
      <c r="S410" s="21">
        <v>0.25</v>
      </c>
      <c r="T410" s="21">
        <v>0.1</v>
      </c>
      <c r="U410" s="21">
        <v>1415.1850999999999</v>
      </c>
      <c r="V410" s="21">
        <v>703</v>
      </c>
      <c r="W410" s="21">
        <v>49.576300000000003</v>
      </c>
    </row>
    <row r="411" spans="2:23" x14ac:dyDescent="0.3">
      <c r="B411" s="6">
        <v>14000</v>
      </c>
      <c r="C411" s="21">
        <v>0.25</v>
      </c>
      <c r="D411" s="21">
        <v>0.1</v>
      </c>
      <c r="E411" s="21">
        <v>1432.5183</v>
      </c>
      <c r="F411" s="21">
        <v>703</v>
      </c>
      <c r="G411" s="21">
        <v>50.578499999999998</v>
      </c>
      <c r="J411" s="6">
        <v>14000</v>
      </c>
      <c r="K411" s="21">
        <v>0.25</v>
      </c>
      <c r="L411" s="21">
        <v>0.1</v>
      </c>
      <c r="M411" s="21">
        <v>1416.8797</v>
      </c>
      <c r="N411" s="21">
        <v>703</v>
      </c>
      <c r="O411" s="21">
        <v>49.672699999999999</v>
      </c>
      <c r="R411" s="6">
        <v>14000</v>
      </c>
      <c r="S411" s="21">
        <v>0.25</v>
      </c>
      <c r="T411" s="21">
        <v>0.1</v>
      </c>
      <c r="U411" s="21">
        <v>1414.9467999999999</v>
      </c>
      <c r="V411" s="21">
        <v>703</v>
      </c>
      <c r="W411" s="21">
        <v>49.562800000000003</v>
      </c>
    </row>
    <row r="412" spans="2:23" x14ac:dyDescent="0.3">
      <c r="B412" s="6">
        <v>14200</v>
      </c>
      <c r="C412" s="21">
        <v>0.25</v>
      </c>
      <c r="D412" s="21">
        <v>0.1</v>
      </c>
      <c r="E412" s="21">
        <v>1432.3915</v>
      </c>
      <c r="F412" s="21">
        <v>703</v>
      </c>
      <c r="G412" s="21">
        <v>50.570999999999998</v>
      </c>
      <c r="J412" s="6">
        <v>14200</v>
      </c>
      <c r="K412" s="21">
        <v>0.25</v>
      </c>
      <c r="L412" s="21">
        <v>0.1</v>
      </c>
      <c r="M412" s="21">
        <v>1416.6715999999999</v>
      </c>
      <c r="N412" s="21">
        <v>703</v>
      </c>
      <c r="O412" s="21">
        <v>49.660800000000002</v>
      </c>
      <c r="R412" s="6">
        <v>14200</v>
      </c>
      <c r="S412" s="21">
        <v>0.25</v>
      </c>
      <c r="T412" s="21">
        <v>0.1</v>
      </c>
      <c r="U412" s="21">
        <v>1414.7373</v>
      </c>
      <c r="V412" s="21">
        <v>703</v>
      </c>
      <c r="W412" s="21">
        <v>49.550899999999999</v>
      </c>
    </row>
    <row r="413" spans="2:23" x14ac:dyDescent="0.3">
      <c r="B413" s="6">
        <v>14400</v>
      </c>
      <c r="C413" s="21">
        <v>0.25</v>
      </c>
      <c r="D413" s="21">
        <v>0.1</v>
      </c>
      <c r="E413" s="21">
        <v>1432.2952</v>
      </c>
      <c r="F413" s="21">
        <v>703</v>
      </c>
      <c r="G413" s="21">
        <v>50.565300000000001</v>
      </c>
      <c r="J413" s="6">
        <v>14400</v>
      </c>
      <c r="K413" s="21">
        <v>0.25</v>
      </c>
      <c r="L413" s="21">
        <v>0.1</v>
      </c>
      <c r="M413" s="21">
        <v>1416.5039999999999</v>
      </c>
      <c r="N413" s="21">
        <v>703</v>
      </c>
      <c r="O413" s="21">
        <v>49.651299999999999</v>
      </c>
      <c r="R413" s="6">
        <v>14400</v>
      </c>
      <c r="S413" s="21">
        <v>0.25</v>
      </c>
      <c r="T413" s="21">
        <v>0.1</v>
      </c>
      <c r="U413" s="21">
        <v>1414.5592999999999</v>
      </c>
      <c r="V413" s="21">
        <v>703</v>
      </c>
      <c r="W413" s="21">
        <v>49.540900000000001</v>
      </c>
    </row>
    <row r="414" spans="2:23" x14ac:dyDescent="0.3">
      <c r="B414" s="6">
        <v>14600</v>
      </c>
      <c r="C414" s="21">
        <v>0.25</v>
      </c>
      <c r="D414" s="21">
        <v>0.1</v>
      </c>
      <c r="E414" s="21">
        <v>1432.1994999999999</v>
      </c>
      <c r="F414" s="21">
        <v>703</v>
      </c>
      <c r="G414" s="21">
        <v>50.559699999999999</v>
      </c>
      <c r="J414" s="6">
        <v>14600</v>
      </c>
      <c r="K414" s="21">
        <v>0.25</v>
      </c>
      <c r="L414" s="21">
        <v>0.1</v>
      </c>
      <c r="M414" s="21">
        <v>1416.3595</v>
      </c>
      <c r="N414" s="21">
        <v>703</v>
      </c>
      <c r="O414" s="21">
        <v>49.643099999999997</v>
      </c>
      <c r="R414" s="6">
        <v>14600</v>
      </c>
      <c r="S414" s="21">
        <v>0.25</v>
      </c>
      <c r="T414" s="21">
        <v>0.1</v>
      </c>
      <c r="U414" s="21">
        <v>1414.4084</v>
      </c>
      <c r="V414" s="21">
        <v>703</v>
      </c>
      <c r="W414" s="21">
        <v>49.532299999999999</v>
      </c>
    </row>
    <row r="415" spans="2:23" x14ac:dyDescent="0.3">
      <c r="B415" s="6">
        <v>14800</v>
      </c>
      <c r="C415" s="21">
        <v>0.25</v>
      </c>
      <c r="D415" s="21">
        <v>0.1</v>
      </c>
      <c r="E415" s="21">
        <v>1432.1042</v>
      </c>
      <c r="F415" s="21">
        <v>703</v>
      </c>
      <c r="G415" s="21">
        <v>50.554099999999998</v>
      </c>
      <c r="J415" s="6">
        <v>14800</v>
      </c>
      <c r="K415" s="21">
        <v>0.25</v>
      </c>
      <c r="L415" s="21">
        <v>0.1</v>
      </c>
      <c r="M415" s="21">
        <v>1416.2356</v>
      </c>
      <c r="N415" s="21">
        <v>703</v>
      </c>
      <c r="O415" s="21">
        <v>49.636000000000003</v>
      </c>
      <c r="R415" s="6">
        <v>14800</v>
      </c>
      <c r="S415" s="21">
        <v>0.25</v>
      </c>
      <c r="T415" s="21">
        <v>0.1</v>
      </c>
      <c r="U415" s="21">
        <v>1414.2744</v>
      </c>
      <c r="V415" s="21">
        <v>703</v>
      </c>
      <c r="W415" s="21">
        <v>49.524700000000003</v>
      </c>
    </row>
    <row r="416" spans="2:23" x14ac:dyDescent="0.3">
      <c r="B416" s="6">
        <v>15000</v>
      </c>
      <c r="C416" s="21">
        <v>0.25</v>
      </c>
      <c r="D416" s="21">
        <v>0.1</v>
      </c>
      <c r="E416" s="21">
        <v>1432.0414000000001</v>
      </c>
      <c r="F416" s="21">
        <v>703</v>
      </c>
      <c r="G416" s="21">
        <v>50.550400000000003</v>
      </c>
      <c r="J416" s="6">
        <v>15000</v>
      </c>
      <c r="K416" s="21">
        <v>0.25</v>
      </c>
      <c r="L416" s="21">
        <v>0.1</v>
      </c>
      <c r="M416" s="21">
        <v>1416.1316999999999</v>
      </c>
      <c r="N416" s="21">
        <v>703</v>
      </c>
      <c r="O416" s="21">
        <v>49.630099999999999</v>
      </c>
      <c r="R416" s="6">
        <v>15000</v>
      </c>
      <c r="S416" s="21">
        <v>0.25</v>
      </c>
      <c r="T416" s="21">
        <v>0.1</v>
      </c>
      <c r="U416" s="21">
        <v>1414.1614999999999</v>
      </c>
      <c r="V416" s="21">
        <v>703</v>
      </c>
      <c r="W416" s="21">
        <v>49.518300000000004</v>
      </c>
    </row>
    <row r="417" spans="2:23" x14ac:dyDescent="0.3">
      <c r="B417" s="6">
        <v>15200</v>
      </c>
      <c r="C417" s="21">
        <v>0.25</v>
      </c>
      <c r="D417" s="21">
        <v>0.1</v>
      </c>
      <c r="E417" s="21">
        <v>1431.9789000000001</v>
      </c>
      <c r="F417" s="21">
        <v>703</v>
      </c>
      <c r="G417" s="21">
        <v>50.546700000000001</v>
      </c>
      <c r="J417" s="6">
        <v>15200</v>
      </c>
      <c r="K417" s="21">
        <v>0.25</v>
      </c>
      <c r="L417" s="21">
        <v>0.1</v>
      </c>
      <c r="M417" s="21">
        <v>1416.0313000000001</v>
      </c>
      <c r="N417" s="21">
        <v>703</v>
      </c>
      <c r="O417" s="21">
        <v>49.624400000000001</v>
      </c>
      <c r="R417" s="6">
        <v>15200</v>
      </c>
      <c r="S417" s="21">
        <v>0.25</v>
      </c>
      <c r="T417" s="21">
        <v>0.1</v>
      </c>
      <c r="U417" s="21">
        <v>1414.0668000000001</v>
      </c>
      <c r="V417" s="21">
        <v>703</v>
      </c>
      <c r="W417" s="21">
        <v>49.512999999999998</v>
      </c>
    </row>
    <row r="418" spans="2:23" x14ac:dyDescent="0.3">
      <c r="B418" s="6">
        <v>15400</v>
      </c>
      <c r="C418" s="21">
        <v>0.25</v>
      </c>
      <c r="D418" s="21">
        <v>0.1</v>
      </c>
      <c r="E418" s="21">
        <v>1431.9165</v>
      </c>
      <c r="F418" s="21">
        <v>703</v>
      </c>
      <c r="G418" s="21">
        <v>50.543100000000003</v>
      </c>
      <c r="J418" s="6">
        <v>15400</v>
      </c>
      <c r="K418" s="21">
        <v>0.25</v>
      </c>
      <c r="L418" s="21">
        <v>0.1</v>
      </c>
      <c r="M418" s="21">
        <v>1415.9484</v>
      </c>
      <c r="N418" s="21">
        <v>703</v>
      </c>
      <c r="O418" s="21">
        <v>49.619700000000002</v>
      </c>
      <c r="R418" s="6">
        <v>15400</v>
      </c>
      <c r="S418" s="21">
        <v>0.25</v>
      </c>
      <c r="T418" s="21">
        <v>0.1</v>
      </c>
      <c r="U418" s="21">
        <v>1413.9815000000001</v>
      </c>
      <c r="V418" s="21">
        <v>703</v>
      </c>
      <c r="W418" s="21">
        <v>49.508099999999999</v>
      </c>
    </row>
    <row r="419" spans="2:23" x14ac:dyDescent="0.3">
      <c r="B419" s="6">
        <v>15600</v>
      </c>
      <c r="C419" s="21">
        <v>0.25</v>
      </c>
      <c r="D419" s="21">
        <v>0.1</v>
      </c>
      <c r="E419" s="21">
        <v>1431.8841</v>
      </c>
      <c r="F419" s="21">
        <v>703</v>
      </c>
      <c r="G419" s="21">
        <v>50.541200000000003</v>
      </c>
      <c r="J419" s="6">
        <v>15600</v>
      </c>
      <c r="K419" s="21">
        <v>0.25</v>
      </c>
      <c r="L419" s="21">
        <v>0.1</v>
      </c>
      <c r="M419" s="21">
        <v>1415.8829000000001</v>
      </c>
      <c r="N419" s="21">
        <v>703</v>
      </c>
      <c r="O419" s="21">
        <v>49.616</v>
      </c>
      <c r="R419" s="6">
        <v>15600</v>
      </c>
      <c r="S419" s="21">
        <v>0.25</v>
      </c>
      <c r="T419" s="21">
        <v>0.1</v>
      </c>
      <c r="U419" s="21">
        <v>1413.9110000000001</v>
      </c>
      <c r="V419" s="21">
        <v>703</v>
      </c>
      <c r="W419" s="21">
        <v>49.504100000000001</v>
      </c>
    </row>
    <row r="420" spans="2:23" x14ac:dyDescent="0.3">
      <c r="B420" s="6">
        <v>15800</v>
      </c>
      <c r="C420" s="21">
        <v>0.25</v>
      </c>
      <c r="D420" s="21">
        <v>0.1</v>
      </c>
      <c r="E420" s="21">
        <v>1431.8516</v>
      </c>
      <c r="F420" s="21">
        <v>703</v>
      </c>
      <c r="G420" s="21">
        <v>50.539299999999997</v>
      </c>
      <c r="J420" s="6">
        <v>15800</v>
      </c>
      <c r="K420" s="21">
        <v>0.25</v>
      </c>
      <c r="L420" s="21">
        <v>0.1</v>
      </c>
      <c r="M420" s="21">
        <v>1415.8189</v>
      </c>
      <c r="N420" s="21">
        <v>703</v>
      </c>
      <c r="O420" s="21">
        <v>49.612299999999998</v>
      </c>
      <c r="R420" s="6">
        <v>15800</v>
      </c>
      <c r="S420" s="21">
        <v>0.25</v>
      </c>
      <c r="T420" s="21">
        <v>0.1</v>
      </c>
      <c r="U420" s="21">
        <v>1413.8469</v>
      </c>
      <c r="V420" s="21">
        <v>703</v>
      </c>
      <c r="W420" s="21">
        <v>49.500500000000002</v>
      </c>
    </row>
    <row r="421" spans="2:23" x14ac:dyDescent="0.3">
      <c r="B421" s="6">
        <v>16000</v>
      </c>
      <c r="C421" s="21">
        <v>0.25</v>
      </c>
      <c r="D421" s="21">
        <v>0.1</v>
      </c>
      <c r="E421" s="21">
        <v>1431.8193000000001</v>
      </c>
      <c r="F421" s="21">
        <v>703</v>
      </c>
      <c r="G421" s="21">
        <v>50.537399999999998</v>
      </c>
      <c r="J421" s="6">
        <v>16000</v>
      </c>
      <c r="K421" s="21">
        <v>0.25</v>
      </c>
      <c r="L421" s="21">
        <v>0.1</v>
      </c>
      <c r="M421" s="21">
        <v>1415.7706000000001</v>
      </c>
      <c r="N421" s="21">
        <v>703</v>
      </c>
      <c r="O421" s="21">
        <v>49.6096</v>
      </c>
      <c r="R421" s="6">
        <v>16000</v>
      </c>
      <c r="S421" s="21">
        <v>0.25</v>
      </c>
      <c r="T421" s="21">
        <v>0.1</v>
      </c>
      <c r="U421" s="21">
        <v>1413.7945999999999</v>
      </c>
      <c r="V421" s="21">
        <v>703</v>
      </c>
      <c r="W421" s="21">
        <v>49.497599999999998</v>
      </c>
    </row>
    <row r="422" spans="2:23" x14ac:dyDescent="0.3">
      <c r="B422" s="6">
        <v>16200</v>
      </c>
      <c r="C422" s="21">
        <v>0.25</v>
      </c>
      <c r="D422" s="21">
        <v>0.1</v>
      </c>
      <c r="E422" s="21">
        <v>1431.787</v>
      </c>
      <c r="F422" s="21">
        <v>703</v>
      </c>
      <c r="G422" s="21">
        <v>50.535499999999999</v>
      </c>
      <c r="J422" s="6">
        <v>16200</v>
      </c>
      <c r="K422" s="21">
        <v>0.25</v>
      </c>
      <c r="L422" s="21">
        <v>0.1</v>
      </c>
      <c r="M422" s="21">
        <v>1415.7231999999999</v>
      </c>
      <c r="N422" s="21">
        <v>703</v>
      </c>
      <c r="O422" s="21">
        <v>49.606900000000003</v>
      </c>
      <c r="R422" s="6">
        <v>16200</v>
      </c>
      <c r="S422" s="21">
        <v>0.25</v>
      </c>
      <c r="T422" s="21">
        <v>0.1</v>
      </c>
      <c r="U422" s="21">
        <v>1413.7465999999999</v>
      </c>
      <c r="V422" s="21">
        <v>703</v>
      </c>
      <c r="W422" s="21">
        <v>49.494799999999998</v>
      </c>
    </row>
    <row r="423" spans="2:23" x14ac:dyDescent="0.3">
      <c r="B423" s="6">
        <v>16400</v>
      </c>
      <c r="C423" s="21">
        <v>0.25</v>
      </c>
      <c r="D423" s="21">
        <v>0.1</v>
      </c>
      <c r="E423" s="21">
        <v>1431.7547999999999</v>
      </c>
      <c r="F423" s="21">
        <v>703</v>
      </c>
      <c r="G423" s="21">
        <v>50.5336</v>
      </c>
      <c r="J423" s="6">
        <v>16400</v>
      </c>
      <c r="K423" s="21">
        <v>0.25</v>
      </c>
      <c r="L423" s="21">
        <v>0.1</v>
      </c>
      <c r="M423" s="21">
        <v>1415.6918000000001</v>
      </c>
      <c r="N423" s="21">
        <v>703</v>
      </c>
      <c r="O423" s="21">
        <v>49.6051</v>
      </c>
      <c r="R423" s="6">
        <v>16400</v>
      </c>
      <c r="S423" s="21">
        <v>0.25</v>
      </c>
      <c r="T423" s="21">
        <v>0.1</v>
      </c>
      <c r="U423" s="21">
        <v>1413.7085999999999</v>
      </c>
      <c r="V423" s="21">
        <v>703</v>
      </c>
      <c r="W423" s="21">
        <v>49.492699999999999</v>
      </c>
    </row>
    <row r="424" spans="2:23" x14ac:dyDescent="0.3">
      <c r="B424" s="6">
        <v>16600</v>
      </c>
      <c r="C424" s="21">
        <v>0.25</v>
      </c>
      <c r="D424" s="21">
        <v>0.1</v>
      </c>
      <c r="E424" s="21">
        <v>1431.7536</v>
      </c>
      <c r="F424" s="21">
        <v>703</v>
      </c>
      <c r="G424" s="21">
        <v>50.533499999999997</v>
      </c>
      <c r="J424" s="6">
        <v>16600</v>
      </c>
      <c r="K424" s="21">
        <v>0.25</v>
      </c>
      <c r="L424" s="21">
        <v>0.1</v>
      </c>
      <c r="M424" s="21">
        <v>1415.6606999999999</v>
      </c>
      <c r="N424" s="21">
        <v>703</v>
      </c>
      <c r="O424" s="21">
        <v>49.603400000000001</v>
      </c>
      <c r="R424" s="6">
        <v>16600</v>
      </c>
      <c r="S424" s="21">
        <v>0.25</v>
      </c>
      <c r="T424" s="21">
        <v>0.1</v>
      </c>
      <c r="U424" s="21">
        <v>1413.6732999999999</v>
      </c>
      <c r="V424" s="21">
        <v>703</v>
      </c>
      <c r="W424" s="21">
        <v>49.490699999999997</v>
      </c>
    </row>
    <row r="425" spans="2:23" x14ac:dyDescent="0.3">
      <c r="B425" s="6">
        <v>16800</v>
      </c>
      <c r="C425" s="21">
        <v>0.25</v>
      </c>
      <c r="D425" s="21">
        <v>0.1</v>
      </c>
      <c r="E425" s="21">
        <v>1431.7524000000001</v>
      </c>
      <c r="F425" s="21">
        <v>703</v>
      </c>
      <c r="G425" s="21">
        <v>50.5334</v>
      </c>
      <c r="J425" s="6">
        <v>16800</v>
      </c>
      <c r="K425" s="21">
        <v>0.25</v>
      </c>
      <c r="L425" s="21">
        <v>0.1</v>
      </c>
      <c r="M425" s="21">
        <v>1415.6301000000001</v>
      </c>
      <c r="N425" s="21">
        <v>703</v>
      </c>
      <c r="O425" s="21">
        <v>49.601599999999998</v>
      </c>
      <c r="R425" s="6">
        <v>16800</v>
      </c>
      <c r="S425" s="21">
        <v>0.25</v>
      </c>
      <c r="T425" s="21">
        <v>0.1</v>
      </c>
      <c r="U425" s="21">
        <v>1413.6466</v>
      </c>
      <c r="V425" s="21">
        <v>703</v>
      </c>
      <c r="W425" s="21">
        <v>49.489199999999997</v>
      </c>
    </row>
    <row r="426" spans="2:23" x14ac:dyDescent="0.3">
      <c r="B426" s="6">
        <v>17000</v>
      </c>
      <c r="C426" s="21">
        <v>0.25</v>
      </c>
      <c r="D426" s="21">
        <v>0.1</v>
      </c>
      <c r="E426" s="21">
        <v>1431.7511999999999</v>
      </c>
      <c r="F426" s="21">
        <v>703</v>
      </c>
      <c r="G426" s="21">
        <v>50.5334</v>
      </c>
      <c r="J426" s="6">
        <v>17000</v>
      </c>
      <c r="K426" s="21">
        <v>0.25</v>
      </c>
      <c r="L426" s="21">
        <v>0.1</v>
      </c>
      <c r="M426" s="21">
        <v>1415.5998</v>
      </c>
      <c r="N426" s="21">
        <v>703</v>
      </c>
      <c r="O426" s="21">
        <v>49.599899999999998</v>
      </c>
      <c r="R426" s="6">
        <v>17000</v>
      </c>
      <c r="S426" s="21">
        <v>0.25</v>
      </c>
      <c r="T426" s="21">
        <v>0.1</v>
      </c>
      <c r="U426" s="21">
        <v>1413.6215</v>
      </c>
      <c r="V426" s="21">
        <v>703</v>
      </c>
      <c r="W426" s="21">
        <v>49.4878</v>
      </c>
    </row>
    <row r="427" spans="2:23" x14ac:dyDescent="0.3">
      <c r="B427" s="6">
        <v>17200</v>
      </c>
      <c r="C427" s="21">
        <v>0.25</v>
      </c>
      <c r="D427" s="21">
        <v>0.1</v>
      </c>
      <c r="E427" s="21">
        <v>1431.75</v>
      </c>
      <c r="F427" s="21">
        <v>703</v>
      </c>
      <c r="G427" s="21">
        <v>50.533299999999997</v>
      </c>
      <c r="J427" s="6">
        <v>17200</v>
      </c>
      <c r="K427" s="21">
        <v>0.25</v>
      </c>
      <c r="L427" s="21">
        <v>0.1</v>
      </c>
      <c r="M427" s="21">
        <v>1415.5841</v>
      </c>
      <c r="N427" s="21">
        <v>703</v>
      </c>
      <c r="O427" s="21">
        <v>49.598999999999997</v>
      </c>
      <c r="R427" s="6">
        <v>17200</v>
      </c>
      <c r="S427" s="21">
        <v>0.25</v>
      </c>
      <c r="T427" s="21">
        <v>0.1</v>
      </c>
      <c r="U427" s="21">
        <v>1413.6041</v>
      </c>
      <c r="V427" s="21">
        <v>703</v>
      </c>
      <c r="W427" s="21">
        <v>49.486800000000002</v>
      </c>
    </row>
    <row r="428" spans="2:23" x14ac:dyDescent="0.3">
      <c r="B428" s="6">
        <v>17400</v>
      </c>
      <c r="C428" s="21">
        <v>0.25</v>
      </c>
      <c r="D428" s="21">
        <v>0.1</v>
      </c>
      <c r="E428" s="21">
        <v>1431.7487000000001</v>
      </c>
      <c r="F428" s="21">
        <v>703</v>
      </c>
      <c r="G428" s="21">
        <v>50.533200000000001</v>
      </c>
      <c r="J428" s="6">
        <v>17400</v>
      </c>
      <c r="K428" s="21">
        <v>0.25</v>
      </c>
      <c r="L428" s="21">
        <v>0.1</v>
      </c>
      <c r="M428" s="21">
        <v>1415.5685000000001</v>
      </c>
      <c r="N428" s="21">
        <v>703</v>
      </c>
      <c r="O428" s="21">
        <v>49.598100000000002</v>
      </c>
      <c r="R428" s="6">
        <v>17400</v>
      </c>
      <c r="S428" s="21">
        <v>0.25</v>
      </c>
      <c r="T428" s="21">
        <v>0.1</v>
      </c>
      <c r="U428" s="21">
        <v>1413.5878</v>
      </c>
      <c r="V428" s="21">
        <v>703</v>
      </c>
      <c r="W428" s="21">
        <v>49.485900000000001</v>
      </c>
    </row>
    <row r="429" spans="2:23" x14ac:dyDescent="0.3">
      <c r="B429" s="6">
        <v>17600</v>
      </c>
      <c r="C429" s="21">
        <v>0.25</v>
      </c>
      <c r="D429" s="21">
        <v>0.1</v>
      </c>
      <c r="E429" s="21">
        <v>1431.7474999999999</v>
      </c>
      <c r="F429" s="21">
        <v>703</v>
      </c>
      <c r="G429" s="21">
        <v>50.533099999999997</v>
      </c>
      <c r="J429" s="6">
        <v>17600</v>
      </c>
      <c r="K429" s="21">
        <v>0.25</v>
      </c>
      <c r="L429" s="21">
        <v>0.1</v>
      </c>
      <c r="M429" s="21">
        <v>1415.5530000000001</v>
      </c>
      <c r="N429" s="21">
        <v>703</v>
      </c>
      <c r="O429" s="21">
        <v>49.597200000000001</v>
      </c>
      <c r="R429" s="6">
        <v>17600</v>
      </c>
      <c r="S429" s="21">
        <v>0.25</v>
      </c>
      <c r="T429" s="21">
        <v>0.1</v>
      </c>
      <c r="U429" s="21">
        <v>1413.5721000000001</v>
      </c>
      <c r="V429" s="21">
        <v>703</v>
      </c>
      <c r="W429" s="21">
        <v>49.484999999999999</v>
      </c>
    </row>
    <row r="430" spans="2:23" x14ac:dyDescent="0.3">
      <c r="B430" s="6">
        <v>17800</v>
      </c>
      <c r="C430" s="21">
        <v>0.25</v>
      </c>
      <c r="D430" s="21">
        <v>0.1</v>
      </c>
      <c r="E430" s="21">
        <v>1431.7463</v>
      </c>
      <c r="F430" s="21">
        <v>703</v>
      </c>
      <c r="G430" s="21">
        <v>50.533099999999997</v>
      </c>
      <c r="J430" s="6">
        <v>17800</v>
      </c>
      <c r="K430" s="21">
        <v>0.25</v>
      </c>
      <c r="L430" s="21">
        <v>0.1</v>
      </c>
      <c r="M430" s="21">
        <v>1415.5376000000001</v>
      </c>
      <c r="N430" s="21">
        <v>703</v>
      </c>
      <c r="O430" s="21">
        <v>49.596400000000003</v>
      </c>
      <c r="R430" s="6">
        <v>17800</v>
      </c>
      <c r="S430" s="21">
        <v>0.25</v>
      </c>
      <c r="T430" s="21">
        <v>0.1</v>
      </c>
      <c r="U430" s="21">
        <v>1413.5571</v>
      </c>
      <c r="V430" s="21">
        <v>703</v>
      </c>
      <c r="W430" s="21">
        <v>49.484099999999998</v>
      </c>
    </row>
    <row r="431" spans="2:23" x14ac:dyDescent="0.3">
      <c r="B431" s="6">
        <v>18000</v>
      </c>
      <c r="C431" s="21">
        <v>0.25</v>
      </c>
      <c r="D431" s="21">
        <v>0.1</v>
      </c>
      <c r="E431" s="21">
        <v>1431.7451000000001</v>
      </c>
      <c r="F431" s="21">
        <v>703</v>
      </c>
      <c r="G431" s="21">
        <v>50.533000000000001</v>
      </c>
      <c r="J431" s="6">
        <v>18000</v>
      </c>
      <c r="K431" s="21">
        <v>0.25</v>
      </c>
      <c r="L431" s="21">
        <v>0.1</v>
      </c>
      <c r="M431" s="21">
        <v>1415.5223000000001</v>
      </c>
      <c r="N431" s="21">
        <v>703</v>
      </c>
      <c r="O431" s="21">
        <v>49.595500000000001</v>
      </c>
      <c r="R431" s="6">
        <v>18000</v>
      </c>
      <c r="S431" s="21">
        <v>0.25</v>
      </c>
      <c r="T431" s="21">
        <v>0.1</v>
      </c>
      <c r="U431" s="21">
        <v>1413.5491999999999</v>
      </c>
      <c r="V431" s="21">
        <v>703</v>
      </c>
      <c r="W431" s="21">
        <v>49.483699999999999</v>
      </c>
    </row>
    <row r="432" spans="2:23" x14ac:dyDescent="0.3">
      <c r="B432" s="6">
        <v>18200</v>
      </c>
      <c r="C432" s="21">
        <v>0.25</v>
      </c>
      <c r="D432" s="21">
        <v>0.1</v>
      </c>
      <c r="E432" s="21">
        <v>1431.7438999999999</v>
      </c>
      <c r="F432" s="21">
        <v>703</v>
      </c>
      <c r="G432" s="21">
        <v>50.532899999999998</v>
      </c>
      <c r="J432" s="6">
        <v>18200</v>
      </c>
      <c r="K432" s="21">
        <v>0.25</v>
      </c>
      <c r="L432" s="21">
        <v>0.1</v>
      </c>
      <c r="M432" s="21">
        <v>1415.5071</v>
      </c>
      <c r="N432" s="21">
        <v>703</v>
      </c>
      <c r="O432" s="21">
        <v>49.5946</v>
      </c>
      <c r="R432" s="6">
        <v>18200</v>
      </c>
      <c r="S432" s="21">
        <v>0.25</v>
      </c>
      <c r="T432" s="21">
        <v>0.1</v>
      </c>
      <c r="U432" s="21">
        <v>1413.5414000000001</v>
      </c>
      <c r="V432" s="21">
        <v>703</v>
      </c>
      <c r="W432" s="21">
        <v>49.483199999999997</v>
      </c>
    </row>
    <row r="433" spans="2:23" x14ac:dyDescent="0.3">
      <c r="B433" s="6">
        <v>18400</v>
      </c>
      <c r="C433" s="21">
        <v>0.25</v>
      </c>
      <c r="D433" s="21">
        <v>0.1</v>
      </c>
      <c r="E433" s="21">
        <v>1431.7427</v>
      </c>
      <c r="F433" s="21">
        <v>703</v>
      </c>
      <c r="G433" s="21">
        <v>50.532899999999998</v>
      </c>
      <c r="J433" s="6">
        <v>18400</v>
      </c>
      <c r="K433" s="21">
        <v>0.25</v>
      </c>
      <c r="L433" s="21">
        <v>0.1</v>
      </c>
      <c r="M433" s="21">
        <v>1415.5065999999999</v>
      </c>
      <c r="N433" s="21">
        <v>703</v>
      </c>
      <c r="O433" s="21">
        <v>49.5946</v>
      </c>
      <c r="R433" s="6">
        <v>18400</v>
      </c>
      <c r="S433" s="21">
        <v>0.25</v>
      </c>
      <c r="T433" s="21">
        <v>0.1</v>
      </c>
      <c r="U433" s="21">
        <v>1413.5337999999999</v>
      </c>
      <c r="V433" s="21">
        <v>703</v>
      </c>
      <c r="W433" s="21">
        <v>49.482799999999997</v>
      </c>
    </row>
    <row r="434" spans="2:23" x14ac:dyDescent="0.3">
      <c r="K434" s="2"/>
      <c r="L434" s="2"/>
      <c r="M434" s="2"/>
      <c r="N434" s="2"/>
      <c r="O434" s="2"/>
      <c r="S434" s="2"/>
      <c r="T434" s="2"/>
      <c r="U434" s="2"/>
      <c r="V434" s="2"/>
      <c r="W434" s="2"/>
    </row>
    <row r="435" spans="2:23" x14ac:dyDescent="0.3">
      <c r="B435" s="32"/>
      <c r="C435" s="32"/>
      <c r="D435" s="32"/>
      <c r="E435" s="32"/>
      <c r="F435" s="32"/>
      <c r="G435" s="32"/>
      <c r="J435" s="32"/>
      <c r="K435" s="32"/>
      <c r="L435" s="32"/>
      <c r="M435" s="32"/>
      <c r="N435" s="32"/>
      <c r="O435" s="32"/>
      <c r="R435" s="32"/>
      <c r="S435" s="32"/>
      <c r="T435" s="32"/>
      <c r="U435" s="32"/>
      <c r="V435" s="32"/>
      <c r="W435" s="32"/>
    </row>
    <row r="436" spans="2:23" ht="16.2" thickBot="1" x14ac:dyDescent="0.35">
      <c r="B436" s="1" t="s">
        <v>19</v>
      </c>
      <c r="C436" s="42" t="s">
        <v>20</v>
      </c>
      <c r="D436" s="42"/>
      <c r="E436" s="42"/>
      <c r="J436" s="1" t="s">
        <v>19</v>
      </c>
      <c r="K436" s="42" t="s">
        <v>21</v>
      </c>
      <c r="L436" s="42"/>
      <c r="M436" s="42"/>
      <c r="N436" s="2"/>
      <c r="O436" s="2"/>
      <c r="R436" s="1" t="s">
        <v>19</v>
      </c>
      <c r="S436" s="42" t="s">
        <v>22</v>
      </c>
      <c r="T436" s="42"/>
      <c r="U436" s="42"/>
      <c r="V436" s="2"/>
      <c r="W436" s="2"/>
    </row>
    <row r="437" spans="2:23" x14ac:dyDescent="0.3">
      <c r="B437" s="3"/>
      <c r="C437" s="31" t="s">
        <v>6</v>
      </c>
      <c r="D437" s="30" t="s">
        <v>7</v>
      </c>
      <c r="E437" s="28"/>
      <c r="J437" s="3"/>
      <c r="K437" s="31" t="s">
        <v>6</v>
      </c>
      <c r="L437" s="30" t="s">
        <v>7</v>
      </c>
      <c r="M437" s="28"/>
      <c r="N437" s="2"/>
      <c r="O437" s="2"/>
      <c r="R437" s="3"/>
      <c r="S437" s="31" t="s">
        <v>6</v>
      </c>
      <c r="T437" s="30" t="s">
        <v>7</v>
      </c>
      <c r="U437" s="28"/>
      <c r="V437" s="2"/>
      <c r="W437" s="2"/>
    </row>
    <row r="438" spans="2:23" ht="16.2" thickBot="1" x14ac:dyDescent="0.35">
      <c r="B438" s="25" t="s">
        <v>13</v>
      </c>
      <c r="C438" s="33">
        <v>241</v>
      </c>
      <c r="D438" s="34">
        <v>241</v>
      </c>
      <c r="E438" s="29"/>
      <c r="J438" s="25" t="s">
        <v>13</v>
      </c>
      <c r="K438" s="33">
        <v>121</v>
      </c>
      <c r="L438" s="34">
        <v>121</v>
      </c>
      <c r="M438" s="29"/>
      <c r="N438" s="2"/>
      <c r="O438" s="2"/>
      <c r="R438" s="25" t="s">
        <v>13</v>
      </c>
      <c r="S438" s="33">
        <v>61</v>
      </c>
      <c r="T438" s="34">
        <v>61</v>
      </c>
      <c r="U438" s="29"/>
      <c r="V438" s="2"/>
      <c r="W438" s="2"/>
    </row>
    <row r="439" spans="2:23" x14ac:dyDescent="0.3">
      <c r="B439" s="26" t="s">
        <v>14</v>
      </c>
      <c r="C439" s="35">
        <v>200</v>
      </c>
      <c r="D439" s="32"/>
      <c r="E439" s="29"/>
      <c r="J439" s="26" t="s">
        <v>14</v>
      </c>
      <c r="K439" s="35">
        <v>200</v>
      </c>
      <c r="L439" s="32"/>
      <c r="M439" s="29"/>
      <c r="N439" s="2"/>
      <c r="O439" s="2"/>
      <c r="R439" s="26" t="s">
        <v>14</v>
      </c>
      <c r="S439" s="35">
        <v>200</v>
      </c>
      <c r="T439" s="32"/>
      <c r="U439" s="29"/>
      <c r="V439" s="2"/>
      <c r="W439" s="2"/>
    </row>
    <row r="440" spans="2:23" ht="16.2" thickBot="1" x14ac:dyDescent="0.35">
      <c r="B440" s="26" t="s">
        <v>15</v>
      </c>
      <c r="C440" s="21" t="s">
        <v>12</v>
      </c>
      <c r="D440" s="32"/>
      <c r="E440" s="29"/>
      <c r="J440" s="26" t="s">
        <v>15</v>
      </c>
      <c r="K440" s="21" t="s">
        <v>12</v>
      </c>
      <c r="L440" s="32"/>
      <c r="M440" s="29"/>
      <c r="N440" s="2"/>
      <c r="O440" s="2"/>
      <c r="R440" s="26" t="s">
        <v>15</v>
      </c>
      <c r="S440" s="21" t="s">
        <v>12</v>
      </c>
      <c r="T440" s="32"/>
      <c r="U440" s="29"/>
      <c r="V440" s="2"/>
      <c r="W440" s="2"/>
    </row>
    <row r="441" spans="2:23" x14ac:dyDescent="0.3">
      <c r="B441" s="26" t="s">
        <v>16</v>
      </c>
      <c r="C441" s="36">
        <v>1E-3</v>
      </c>
      <c r="D441" s="31" t="s">
        <v>6</v>
      </c>
      <c r="E441" s="30" t="s">
        <v>7</v>
      </c>
      <c r="J441" s="26" t="s">
        <v>16</v>
      </c>
      <c r="K441" s="36">
        <v>1E-3</v>
      </c>
      <c r="L441" s="31" t="s">
        <v>6</v>
      </c>
      <c r="M441" s="30" t="s">
        <v>7</v>
      </c>
      <c r="N441" s="2"/>
      <c r="O441" s="2"/>
      <c r="R441" s="26" t="s">
        <v>16</v>
      </c>
      <c r="S441" s="36">
        <v>1E-3</v>
      </c>
      <c r="T441" s="31" t="s">
        <v>6</v>
      </c>
      <c r="U441" s="30" t="s">
        <v>7</v>
      </c>
      <c r="V441" s="2"/>
      <c r="W441" s="2"/>
    </row>
    <row r="442" spans="2:23" ht="16.2" thickBot="1" x14ac:dyDescent="0.35">
      <c r="B442" s="27" t="s">
        <v>18</v>
      </c>
      <c r="C442" s="37">
        <v>5</v>
      </c>
      <c r="D442" s="23">
        <f>VLOOKUP(C442,$J$4:$L$12,2,FALSE)</f>
        <v>0.5</v>
      </c>
      <c r="E442" s="24">
        <f>VLOOKUP(C442,$J$4:$L$12,3,FALSE)</f>
        <v>0.1</v>
      </c>
      <c r="J442" s="27" t="s">
        <v>18</v>
      </c>
      <c r="K442" s="37">
        <v>5</v>
      </c>
      <c r="L442" s="23">
        <f>VLOOKUP(K442,$J$4:$L$12,2,FALSE)</f>
        <v>0.5</v>
      </c>
      <c r="M442" s="24">
        <f>VLOOKUP(K442,$J$4:$L$12,3,FALSE)</f>
        <v>0.1</v>
      </c>
      <c r="N442" s="2"/>
      <c r="O442" s="2"/>
      <c r="R442" s="27" t="s">
        <v>18</v>
      </c>
      <c r="S442" s="37">
        <v>5</v>
      </c>
      <c r="T442" s="23">
        <f>VLOOKUP(S442,$J$4:$L$12,2,FALSE)</f>
        <v>0.5</v>
      </c>
      <c r="U442" s="24">
        <f>VLOOKUP(S442,$J$4:$L$12,3,FALSE)</f>
        <v>0.1</v>
      </c>
      <c r="V442" s="2"/>
      <c r="W442" s="2"/>
    </row>
    <row r="443" spans="2:23" x14ac:dyDescent="0.3">
      <c r="K443" s="2"/>
      <c r="L443" s="2"/>
      <c r="M443" s="2"/>
      <c r="N443" s="2"/>
      <c r="O443" s="2"/>
      <c r="S443" s="2"/>
      <c r="T443" s="2"/>
      <c r="U443" s="2"/>
      <c r="V443" s="2"/>
      <c r="W443" s="2"/>
    </row>
    <row r="444" spans="2:23" x14ac:dyDescent="0.3">
      <c r="B444" s="38" t="s">
        <v>0</v>
      </c>
      <c r="C444" s="39" t="s">
        <v>1</v>
      </c>
      <c r="D444" s="39" t="s">
        <v>2</v>
      </c>
      <c r="E444" s="39" t="s">
        <v>3</v>
      </c>
      <c r="F444" s="39" t="s">
        <v>4</v>
      </c>
      <c r="G444" s="39" t="s">
        <v>5</v>
      </c>
      <c r="J444" s="38" t="s">
        <v>0</v>
      </c>
      <c r="K444" s="39" t="s">
        <v>1</v>
      </c>
      <c r="L444" s="39" t="s">
        <v>2</v>
      </c>
      <c r="M444" s="39" t="s">
        <v>3</v>
      </c>
      <c r="N444" s="39" t="s">
        <v>4</v>
      </c>
      <c r="O444" s="39" t="s">
        <v>5</v>
      </c>
      <c r="R444" s="38" t="s">
        <v>0</v>
      </c>
      <c r="S444" s="39" t="s">
        <v>1</v>
      </c>
      <c r="T444" s="39" t="s">
        <v>2</v>
      </c>
      <c r="U444" s="39" t="s">
        <v>3</v>
      </c>
      <c r="V444" s="39" t="s">
        <v>4</v>
      </c>
      <c r="W444" s="39" t="s">
        <v>5</v>
      </c>
    </row>
    <row r="445" spans="2:23" x14ac:dyDescent="0.3">
      <c r="B445" s="21">
        <v>0</v>
      </c>
      <c r="C445" s="21">
        <v>0.5</v>
      </c>
      <c r="D445" s="21">
        <v>0.1</v>
      </c>
      <c r="E445" s="21">
        <v>300</v>
      </c>
      <c r="F445" s="21">
        <v>478.57299999999998</v>
      </c>
      <c r="G445" s="21">
        <v>62.213700000000003</v>
      </c>
      <c r="J445" s="21">
        <v>0</v>
      </c>
      <c r="K445" s="21">
        <v>0.5</v>
      </c>
      <c r="L445" s="21">
        <v>0.1</v>
      </c>
      <c r="M445" s="21">
        <v>300</v>
      </c>
      <c r="N445" s="21">
        <v>478.57299999999998</v>
      </c>
      <c r="O445" s="21">
        <v>62.213700000000003</v>
      </c>
      <c r="R445" s="21">
        <v>0</v>
      </c>
      <c r="S445" s="21">
        <v>0.5</v>
      </c>
      <c r="T445" s="21">
        <v>0.1</v>
      </c>
      <c r="U445" s="21">
        <v>300</v>
      </c>
      <c r="V445" s="21">
        <v>478.57299999999998</v>
      </c>
      <c r="W445" s="21">
        <v>62.213700000000003</v>
      </c>
    </row>
    <row r="446" spans="2:23" x14ac:dyDescent="0.3">
      <c r="B446" s="21">
        <v>200</v>
      </c>
      <c r="C446" s="21">
        <v>0.5</v>
      </c>
      <c r="D446" s="21">
        <v>0.1</v>
      </c>
      <c r="E446" s="21">
        <v>345.08749999999998</v>
      </c>
      <c r="F446" s="21">
        <v>457.27710000000002</v>
      </c>
      <c r="G446" s="21">
        <v>60.476999999999997</v>
      </c>
      <c r="J446" s="21">
        <v>200</v>
      </c>
      <c r="K446" s="21">
        <v>0.5</v>
      </c>
      <c r="L446" s="21">
        <v>0.1</v>
      </c>
      <c r="M446" s="21">
        <v>347.96519999999998</v>
      </c>
      <c r="N446" s="21">
        <v>456.92410000000001</v>
      </c>
      <c r="O446" s="21">
        <v>60.359900000000003</v>
      </c>
      <c r="R446" s="21">
        <v>200</v>
      </c>
      <c r="S446" s="21">
        <v>0.5</v>
      </c>
      <c r="T446" s="21">
        <v>0.1</v>
      </c>
      <c r="U446" s="21">
        <v>348.33269999999999</v>
      </c>
      <c r="V446" s="21">
        <v>456.88650000000001</v>
      </c>
      <c r="W446" s="21">
        <v>60.344900000000003</v>
      </c>
    </row>
    <row r="447" spans="2:23" x14ac:dyDescent="0.3">
      <c r="B447" s="21">
        <v>400</v>
      </c>
      <c r="C447" s="21">
        <v>0.5</v>
      </c>
      <c r="D447" s="21">
        <v>0.1</v>
      </c>
      <c r="E447" s="21">
        <v>403.79910000000001</v>
      </c>
      <c r="F447" s="21">
        <v>467.2774</v>
      </c>
      <c r="G447" s="21">
        <v>57.9754</v>
      </c>
      <c r="J447" s="21">
        <v>400</v>
      </c>
      <c r="K447" s="21">
        <v>0.5</v>
      </c>
      <c r="L447" s="21">
        <v>0.1</v>
      </c>
      <c r="M447" s="21">
        <v>409.16359999999997</v>
      </c>
      <c r="N447" s="21">
        <v>469.62569999999999</v>
      </c>
      <c r="O447" s="21">
        <v>57.736800000000002</v>
      </c>
      <c r="R447" s="21">
        <v>400</v>
      </c>
      <c r="S447" s="21">
        <v>0.5</v>
      </c>
      <c r="T447" s="21">
        <v>0.1</v>
      </c>
      <c r="U447" s="21">
        <v>409.86410000000001</v>
      </c>
      <c r="V447" s="21">
        <v>469.94549999999998</v>
      </c>
      <c r="W447" s="21">
        <v>57.705599999999997</v>
      </c>
    </row>
    <row r="448" spans="2:23" x14ac:dyDescent="0.3">
      <c r="B448" s="21">
        <v>600</v>
      </c>
      <c r="C448" s="21">
        <v>0.5</v>
      </c>
      <c r="D448" s="21">
        <v>0.1</v>
      </c>
      <c r="E448" s="21">
        <v>460.48289999999997</v>
      </c>
      <c r="F448" s="21">
        <v>499.07859999999999</v>
      </c>
      <c r="G448" s="21">
        <v>55.400300000000001</v>
      </c>
      <c r="J448" s="21">
        <v>600</v>
      </c>
      <c r="K448" s="21">
        <v>0.5</v>
      </c>
      <c r="L448" s="21">
        <v>0.1</v>
      </c>
      <c r="M448" s="21">
        <v>467.92630000000003</v>
      </c>
      <c r="N448" s="21">
        <v>504.03800000000001</v>
      </c>
      <c r="O448" s="21">
        <v>55.055599999999998</v>
      </c>
      <c r="R448" s="21">
        <v>600</v>
      </c>
      <c r="S448" s="21">
        <v>0.5</v>
      </c>
      <c r="T448" s="21">
        <v>0.1</v>
      </c>
      <c r="U448" s="21">
        <v>468.90440000000001</v>
      </c>
      <c r="V448" s="21">
        <v>504.69690000000003</v>
      </c>
      <c r="W448" s="21">
        <v>55.010300000000001</v>
      </c>
    </row>
    <row r="449" spans="2:23" x14ac:dyDescent="0.3">
      <c r="B449" s="21">
        <v>800</v>
      </c>
      <c r="C449" s="21">
        <v>0.5</v>
      </c>
      <c r="D449" s="21">
        <v>0.1</v>
      </c>
      <c r="E449" s="21">
        <v>512.43460000000005</v>
      </c>
      <c r="F449" s="21">
        <v>534.74069999999995</v>
      </c>
      <c r="G449" s="21">
        <v>52.984000000000002</v>
      </c>
      <c r="J449" s="21">
        <v>800</v>
      </c>
      <c r="K449" s="21">
        <v>0.5</v>
      </c>
      <c r="L449" s="21">
        <v>0.1</v>
      </c>
      <c r="M449" s="21">
        <v>521.73990000000003</v>
      </c>
      <c r="N449" s="21">
        <v>541.12199999999996</v>
      </c>
      <c r="O449" s="21">
        <v>52.551000000000002</v>
      </c>
      <c r="R449" s="21">
        <v>800</v>
      </c>
      <c r="S449" s="21">
        <v>0.5</v>
      </c>
      <c r="T449" s="21">
        <v>0.1</v>
      </c>
      <c r="U449" s="21">
        <v>522.95600000000002</v>
      </c>
      <c r="V449" s="21">
        <v>541.94979999999998</v>
      </c>
      <c r="W449" s="21">
        <v>52.494500000000002</v>
      </c>
    </row>
    <row r="450" spans="2:23" x14ac:dyDescent="0.3">
      <c r="B450" s="21">
        <v>1000</v>
      </c>
      <c r="C450" s="21">
        <v>0.5</v>
      </c>
      <c r="D450" s="21">
        <v>0.1</v>
      </c>
      <c r="E450" s="21">
        <v>560.13369999999998</v>
      </c>
      <c r="F450" s="21">
        <v>566.18430000000001</v>
      </c>
      <c r="G450" s="21">
        <v>50.777799999999999</v>
      </c>
      <c r="J450" s="21">
        <v>1000</v>
      </c>
      <c r="K450" s="21">
        <v>0.5</v>
      </c>
      <c r="L450" s="21">
        <v>0.1</v>
      </c>
      <c r="M450" s="21">
        <v>571.20510000000002</v>
      </c>
      <c r="N450" s="21">
        <v>572.88220000000001</v>
      </c>
      <c r="O450" s="21">
        <v>50.2727</v>
      </c>
      <c r="R450" s="21">
        <v>1000</v>
      </c>
      <c r="S450" s="21">
        <v>0.5</v>
      </c>
      <c r="T450" s="21">
        <v>0.1</v>
      </c>
      <c r="U450" s="21">
        <v>572.65170000000001</v>
      </c>
      <c r="V450" s="21">
        <v>573.73670000000004</v>
      </c>
      <c r="W450" s="21">
        <v>50.207000000000001</v>
      </c>
    </row>
    <row r="451" spans="2:23" x14ac:dyDescent="0.3">
      <c r="B451" s="21">
        <v>1140</v>
      </c>
      <c r="C451" s="21">
        <v>0.5</v>
      </c>
      <c r="D451" s="21">
        <v>0.1</v>
      </c>
      <c r="E451" s="21">
        <v>591.77949999999998</v>
      </c>
      <c r="F451" s="21">
        <v>584.55820000000006</v>
      </c>
      <c r="G451" s="21">
        <v>49.344999999999999</v>
      </c>
      <c r="J451" s="21">
        <v>1140</v>
      </c>
      <c r="K451" s="21">
        <v>0.5</v>
      </c>
      <c r="L451" s="21">
        <v>0.1</v>
      </c>
      <c r="M451" s="21">
        <v>604.06119999999999</v>
      </c>
      <c r="N451" s="21">
        <v>591.02340000000004</v>
      </c>
      <c r="O451" s="21">
        <v>48.799100000000003</v>
      </c>
      <c r="R451" s="21">
        <v>1140</v>
      </c>
      <c r="S451" s="21">
        <v>0.5</v>
      </c>
      <c r="T451" s="21">
        <v>0.1</v>
      </c>
      <c r="U451" s="21">
        <v>605.66480000000001</v>
      </c>
      <c r="V451" s="21">
        <v>591.83920000000001</v>
      </c>
      <c r="W451" s="21">
        <v>48.728299999999997</v>
      </c>
    </row>
    <row r="452" spans="2:23" x14ac:dyDescent="0.3">
      <c r="B452" s="21">
        <v>1340</v>
      </c>
      <c r="C452" s="21">
        <v>0.5</v>
      </c>
      <c r="D452" s="21">
        <v>0.1</v>
      </c>
      <c r="E452" s="21">
        <v>646.89300000000003</v>
      </c>
      <c r="F452" s="21">
        <v>610.65049999999997</v>
      </c>
      <c r="G452" s="21">
        <v>46.9529</v>
      </c>
      <c r="J452" s="21">
        <v>1340</v>
      </c>
      <c r="K452" s="21">
        <v>0.5</v>
      </c>
      <c r="L452" s="21">
        <v>0.1</v>
      </c>
      <c r="M452" s="21">
        <v>660.72349999999994</v>
      </c>
      <c r="N452" s="21">
        <v>616.12329999999997</v>
      </c>
      <c r="O452" s="21">
        <v>46.379300000000001</v>
      </c>
      <c r="R452" s="21">
        <v>1340</v>
      </c>
      <c r="S452" s="21">
        <v>0.5</v>
      </c>
      <c r="T452" s="21">
        <v>0.1</v>
      </c>
      <c r="U452" s="21">
        <v>662.52549999999997</v>
      </c>
      <c r="V452" s="21">
        <v>616.81079999999997</v>
      </c>
      <c r="W452" s="21">
        <v>46.305500000000002</v>
      </c>
    </row>
    <row r="453" spans="2:23" x14ac:dyDescent="0.3">
      <c r="B453" s="21">
        <v>1540</v>
      </c>
      <c r="C453" s="21">
        <v>0.5</v>
      </c>
      <c r="D453" s="21">
        <v>0.1</v>
      </c>
      <c r="E453" s="21">
        <v>705.64490000000001</v>
      </c>
      <c r="F453" s="21">
        <v>632.10069999999996</v>
      </c>
      <c r="G453" s="21">
        <v>44.608400000000003</v>
      </c>
      <c r="J453" s="21">
        <v>1540</v>
      </c>
      <c r="K453" s="21">
        <v>0.5</v>
      </c>
      <c r="L453" s="21">
        <v>0.1</v>
      </c>
      <c r="M453" s="21">
        <v>720.75149999999996</v>
      </c>
      <c r="N453" s="21">
        <v>637.28679999999997</v>
      </c>
      <c r="O453" s="21">
        <v>44.048200000000001</v>
      </c>
      <c r="R453" s="21">
        <v>1540</v>
      </c>
      <c r="S453" s="21">
        <v>0.5</v>
      </c>
      <c r="T453" s="21">
        <v>0.1</v>
      </c>
      <c r="U453" s="21">
        <v>722.72619999999995</v>
      </c>
      <c r="V453" s="21">
        <v>637.97429999999997</v>
      </c>
      <c r="W453" s="21">
        <v>43.976399999999998</v>
      </c>
    </row>
    <row r="454" spans="2:23" x14ac:dyDescent="0.3">
      <c r="B454" s="21">
        <v>1740</v>
      </c>
      <c r="C454" s="21">
        <v>0.5</v>
      </c>
      <c r="D454" s="21">
        <v>0.1</v>
      </c>
      <c r="E454" s="21">
        <v>762.42280000000005</v>
      </c>
      <c r="F454" s="21">
        <v>653.19640000000004</v>
      </c>
      <c r="G454" s="21">
        <v>42.607700000000001</v>
      </c>
      <c r="J454" s="21">
        <v>1740</v>
      </c>
      <c r="K454" s="21">
        <v>0.5</v>
      </c>
      <c r="L454" s="21">
        <v>0.1</v>
      </c>
      <c r="M454" s="21">
        <v>778.37720000000002</v>
      </c>
      <c r="N454" s="21">
        <v>660.64570000000003</v>
      </c>
      <c r="O454" s="21">
        <v>42.100099999999998</v>
      </c>
      <c r="R454" s="21">
        <v>1740</v>
      </c>
      <c r="S454" s="21">
        <v>0.5</v>
      </c>
      <c r="T454" s="21">
        <v>0.1</v>
      </c>
      <c r="U454" s="21">
        <v>780.43529999999998</v>
      </c>
      <c r="V454" s="21">
        <v>661.68889999999999</v>
      </c>
      <c r="W454" s="21">
        <v>42.036499999999997</v>
      </c>
    </row>
    <row r="455" spans="2:23" x14ac:dyDescent="0.3">
      <c r="B455" s="21">
        <v>1940</v>
      </c>
      <c r="C455" s="21">
        <v>0.5</v>
      </c>
      <c r="D455" s="21">
        <v>0.1</v>
      </c>
      <c r="E455" s="21">
        <v>814.37059999999997</v>
      </c>
      <c r="F455" s="21">
        <v>682.50850000000003</v>
      </c>
      <c r="G455" s="21">
        <v>41.052500000000002</v>
      </c>
      <c r="J455" s="21">
        <v>1940</v>
      </c>
      <c r="K455" s="21">
        <v>0.5</v>
      </c>
      <c r="L455" s="21">
        <v>0.1</v>
      </c>
      <c r="M455" s="21">
        <v>830.62469999999996</v>
      </c>
      <c r="N455" s="21">
        <v>695.56209999999999</v>
      </c>
      <c r="O455" s="21">
        <v>40.626100000000001</v>
      </c>
      <c r="R455" s="21">
        <v>1940</v>
      </c>
      <c r="S455" s="21">
        <v>0.5</v>
      </c>
      <c r="T455" s="21">
        <v>0.1</v>
      </c>
      <c r="U455" s="21">
        <v>832.71119999999996</v>
      </c>
      <c r="V455" s="21">
        <v>697.41570000000002</v>
      </c>
      <c r="W455" s="21">
        <v>40.573500000000003</v>
      </c>
    </row>
    <row r="456" spans="2:23" x14ac:dyDescent="0.3">
      <c r="B456" s="21">
        <v>2140</v>
      </c>
      <c r="C456" s="21">
        <v>0.5</v>
      </c>
      <c r="D456" s="21">
        <v>0.1</v>
      </c>
      <c r="E456" s="21">
        <v>860.56309999999996</v>
      </c>
      <c r="F456" s="21">
        <v>726.73749999999995</v>
      </c>
      <c r="G456" s="21">
        <v>39.921100000000003</v>
      </c>
      <c r="J456" s="21">
        <v>2140</v>
      </c>
      <c r="K456" s="21">
        <v>0.5</v>
      </c>
      <c r="L456" s="21">
        <v>0.1</v>
      </c>
      <c r="M456" s="21">
        <v>876.59339999999997</v>
      </c>
      <c r="N456" s="21">
        <v>748.10559999999998</v>
      </c>
      <c r="O456" s="21">
        <v>39.588200000000001</v>
      </c>
      <c r="R456" s="21">
        <v>2140</v>
      </c>
      <c r="S456" s="21">
        <v>0.5</v>
      </c>
      <c r="T456" s="21">
        <v>0.1</v>
      </c>
      <c r="U456" s="21">
        <v>878.60940000000005</v>
      </c>
      <c r="V456" s="21">
        <v>751.05920000000003</v>
      </c>
      <c r="W456" s="21">
        <v>39.5486</v>
      </c>
    </row>
    <row r="457" spans="2:23" x14ac:dyDescent="0.3">
      <c r="B457" s="21">
        <v>2340</v>
      </c>
      <c r="C457" s="21">
        <v>0.5</v>
      </c>
      <c r="D457" s="21">
        <v>0.1</v>
      </c>
      <c r="E457" s="21">
        <v>901.16510000000005</v>
      </c>
      <c r="F457" s="21">
        <v>788.65250000000003</v>
      </c>
      <c r="G457" s="21">
        <v>39.140500000000003</v>
      </c>
      <c r="J457" s="21">
        <v>2340</v>
      </c>
      <c r="K457" s="21">
        <v>0.5</v>
      </c>
      <c r="L457" s="21">
        <v>0.1</v>
      </c>
      <c r="M457" s="21">
        <v>916.63109999999995</v>
      </c>
      <c r="N457" s="21">
        <v>819.79070000000002</v>
      </c>
      <c r="O457" s="21">
        <v>38.898699999999998</v>
      </c>
      <c r="R457" s="21">
        <v>2340</v>
      </c>
      <c r="S457" s="21">
        <v>0.5</v>
      </c>
      <c r="T457" s="21">
        <v>0.1</v>
      </c>
      <c r="U457" s="21">
        <v>918.48820000000001</v>
      </c>
      <c r="V457" s="21">
        <v>823.85329999999999</v>
      </c>
      <c r="W457" s="21">
        <v>38.8718</v>
      </c>
    </row>
    <row r="458" spans="2:23" x14ac:dyDescent="0.3">
      <c r="B458" s="21">
        <v>2540</v>
      </c>
      <c r="C458" s="21">
        <v>0.5</v>
      </c>
      <c r="D458" s="21">
        <v>0.1</v>
      </c>
      <c r="E458" s="21">
        <v>936.93730000000005</v>
      </c>
      <c r="F458" s="21">
        <v>868.3134</v>
      </c>
      <c r="G458" s="21">
        <v>38.629300000000001</v>
      </c>
      <c r="J458" s="21">
        <v>2540</v>
      </c>
      <c r="K458" s="21">
        <v>0.5</v>
      </c>
      <c r="L458" s="21">
        <v>0.1</v>
      </c>
      <c r="M458" s="21">
        <v>951.6902</v>
      </c>
      <c r="N458" s="21">
        <v>909.67020000000002</v>
      </c>
      <c r="O458" s="21">
        <v>38.468600000000002</v>
      </c>
      <c r="R458" s="21">
        <v>2540</v>
      </c>
      <c r="S458" s="21">
        <v>0.5</v>
      </c>
      <c r="T458" s="21">
        <v>0.1</v>
      </c>
      <c r="U458" s="21">
        <v>953.39469999999994</v>
      </c>
      <c r="V458" s="21">
        <v>914.80679999999995</v>
      </c>
      <c r="W458" s="21">
        <v>38.451900000000002</v>
      </c>
    </row>
    <row r="459" spans="2:23" x14ac:dyDescent="0.3">
      <c r="B459" s="21">
        <v>2740</v>
      </c>
      <c r="C459" s="21">
        <v>0.5</v>
      </c>
      <c r="D459" s="21">
        <v>0.1</v>
      </c>
      <c r="E459" s="21">
        <v>968.8329</v>
      </c>
      <c r="F459" s="21">
        <v>964.94290000000001</v>
      </c>
      <c r="G459" s="21">
        <v>38.319400000000002</v>
      </c>
      <c r="J459" s="21">
        <v>2740</v>
      </c>
      <c r="K459" s="21">
        <v>0.5</v>
      </c>
      <c r="L459" s="21">
        <v>0.1</v>
      </c>
      <c r="M459" s="21">
        <v>982.98879999999997</v>
      </c>
      <c r="N459" s="21">
        <v>1017.0049</v>
      </c>
      <c r="O459" s="21">
        <v>38.227200000000003</v>
      </c>
      <c r="R459" s="21">
        <v>2740</v>
      </c>
      <c r="S459" s="21">
        <v>0.5</v>
      </c>
      <c r="T459" s="21">
        <v>0.1</v>
      </c>
      <c r="U459" s="21">
        <v>984.5598</v>
      </c>
      <c r="V459" s="21">
        <v>1023.164</v>
      </c>
      <c r="W459" s="21">
        <v>38.218699999999998</v>
      </c>
    </row>
    <row r="460" spans="2:23" x14ac:dyDescent="0.3">
      <c r="B460" s="21">
        <v>2940</v>
      </c>
      <c r="C460" s="21">
        <v>0.5</v>
      </c>
      <c r="D460" s="21">
        <v>0.1</v>
      </c>
      <c r="E460" s="21">
        <v>997.91240000000005</v>
      </c>
      <c r="F460" s="21">
        <v>1078.7647999999999</v>
      </c>
      <c r="G460" s="21">
        <v>38.160800000000002</v>
      </c>
      <c r="J460" s="21">
        <v>2940</v>
      </c>
      <c r="K460" s="21">
        <v>0.5</v>
      </c>
      <c r="L460" s="21">
        <v>0.1</v>
      </c>
      <c r="M460" s="21">
        <v>1011.977</v>
      </c>
      <c r="N460" s="21">
        <v>1143.9632999999999</v>
      </c>
      <c r="O460" s="21">
        <v>38.127299999999998</v>
      </c>
      <c r="R460" s="21">
        <v>2940</v>
      </c>
      <c r="S460" s="21">
        <v>0.5</v>
      </c>
      <c r="T460" s="21">
        <v>0.1</v>
      </c>
      <c r="U460" s="21">
        <v>1013.5261</v>
      </c>
      <c r="V460" s="21">
        <v>1151.5818999999999</v>
      </c>
      <c r="W460" s="21">
        <v>38.125399999999999</v>
      </c>
    </row>
    <row r="461" spans="2:23" x14ac:dyDescent="0.3">
      <c r="B461" s="21">
        <v>3060</v>
      </c>
      <c r="C461" s="21">
        <v>0.5</v>
      </c>
      <c r="D461" s="21">
        <v>0.1</v>
      </c>
      <c r="E461" s="21">
        <v>1014.753</v>
      </c>
      <c r="F461" s="21">
        <v>1157.6796999999999</v>
      </c>
      <c r="G461" s="21">
        <v>38.124099999999999</v>
      </c>
      <c r="J461" s="21">
        <v>3060</v>
      </c>
      <c r="K461" s="21">
        <v>0.5</v>
      </c>
      <c r="L461" s="21">
        <v>0.1</v>
      </c>
      <c r="M461" s="21">
        <v>1029.4275</v>
      </c>
      <c r="N461" s="21">
        <v>1235.0976000000001</v>
      </c>
      <c r="O461" s="21">
        <v>38.125599999999999</v>
      </c>
      <c r="R461" s="21">
        <v>3060</v>
      </c>
      <c r="S461" s="21">
        <v>0.5</v>
      </c>
      <c r="T461" s="21">
        <v>0.1</v>
      </c>
      <c r="U461" s="21">
        <v>1031.1378</v>
      </c>
      <c r="V461" s="21">
        <v>1244.6748</v>
      </c>
      <c r="W461" s="21">
        <v>38.127800000000001</v>
      </c>
    </row>
    <row r="462" spans="2:23" x14ac:dyDescent="0.3">
      <c r="B462" s="21">
        <v>3260</v>
      </c>
      <c r="C462" s="21">
        <v>0.5</v>
      </c>
      <c r="D462" s="21">
        <v>0.1</v>
      </c>
      <c r="E462" s="21">
        <v>1049.5455999999999</v>
      </c>
      <c r="F462" s="21">
        <v>1068.9327000000001</v>
      </c>
      <c r="G462" s="21">
        <v>38.178899999999999</v>
      </c>
      <c r="J462" s="21">
        <v>3260</v>
      </c>
      <c r="K462" s="21">
        <v>0.5</v>
      </c>
      <c r="L462" s="21">
        <v>0.1</v>
      </c>
      <c r="M462" s="21">
        <v>1067.3806999999999</v>
      </c>
      <c r="N462" s="21">
        <v>1006.4414</v>
      </c>
      <c r="O462" s="21">
        <v>38.276200000000003</v>
      </c>
      <c r="R462" s="21">
        <v>3260</v>
      </c>
      <c r="S462" s="21">
        <v>0.5</v>
      </c>
      <c r="T462" s="21">
        <v>0.1</v>
      </c>
      <c r="U462" s="21">
        <v>1069.4324999999999</v>
      </c>
      <c r="V462" s="21">
        <v>999.5675</v>
      </c>
      <c r="W462" s="21">
        <v>38.290399999999998</v>
      </c>
    </row>
    <row r="463" spans="2:23" x14ac:dyDescent="0.3">
      <c r="B463" s="21">
        <v>3460</v>
      </c>
      <c r="C463" s="21">
        <v>0.5</v>
      </c>
      <c r="D463" s="21">
        <v>0.1</v>
      </c>
      <c r="E463" s="21">
        <v>1091.4822999999999</v>
      </c>
      <c r="F463" s="21">
        <v>929.93089999999995</v>
      </c>
      <c r="G463" s="21">
        <v>38.482900000000001</v>
      </c>
      <c r="J463" s="21">
        <v>3460</v>
      </c>
      <c r="K463" s="21">
        <v>0.5</v>
      </c>
      <c r="L463" s="21">
        <v>0.1</v>
      </c>
      <c r="M463" s="21">
        <v>1112.2437</v>
      </c>
      <c r="N463" s="21">
        <v>871.67949999999996</v>
      </c>
      <c r="O463" s="21">
        <v>38.730699999999999</v>
      </c>
      <c r="R463" s="21">
        <v>3460</v>
      </c>
      <c r="S463" s="21">
        <v>0.5</v>
      </c>
      <c r="T463" s="21">
        <v>0.1</v>
      </c>
      <c r="U463" s="21">
        <v>1114.624</v>
      </c>
      <c r="V463" s="21">
        <v>865.4692</v>
      </c>
      <c r="W463" s="21">
        <v>38.763300000000001</v>
      </c>
    </row>
    <row r="464" spans="2:23" x14ac:dyDescent="0.3">
      <c r="B464" s="21">
        <v>3660</v>
      </c>
      <c r="C464" s="21">
        <v>0.5</v>
      </c>
      <c r="D464" s="21">
        <v>0.1</v>
      </c>
      <c r="E464" s="21">
        <v>1137.2317</v>
      </c>
      <c r="F464" s="21">
        <v>811.43939999999998</v>
      </c>
      <c r="G464" s="21">
        <v>39.115099999999998</v>
      </c>
      <c r="J464" s="21">
        <v>3660</v>
      </c>
      <c r="K464" s="21">
        <v>0.5</v>
      </c>
      <c r="L464" s="21">
        <v>0.1</v>
      </c>
      <c r="M464" s="21">
        <v>1160.0995</v>
      </c>
      <c r="N464" s="21">
        <v>766.21159999999998</v>
      </c>
      <c r="O464" s="21">
        <v>39.549399999999999</v>
      </c>
      <c r="R464" s="21">
        <v>3660</v>
      </c>
      <c r="S464" s="21">
        <v>0.5</v>
      </c>
      <c r="T464" s="21">
        <v>0.1</v>
      </c>
      <c r="U464" s="21">
        <v>1162.7088000000001</v>
      </c>
      <c r="V464" s="21">
        <v>761.67280000000005</v>
      </c>
      <c r="W464" s="21">
        <v>39.603999999999999</v>
      </c>
    </row>
    <row r="465" spans="2:23" x14ac:dyDescent="0.3">
      <c r="B465" s="21">
        <v>3860</v>
      </c>
      <c r="C465" s="21">
        <v>0.5</v>
      </c>
      <c r="D465" s="21">
        <v>0.1</v>
      </c>
      <c r="E465" s="21">
        <v>1182.5791999999999</v>
      </c>
      <c r="F465" s="21">
        <v>731.4135</v>
      </c>
      <c r="G465" s="21">
        <v>40.053199999999997</v>
      </c>
      <c r="J465" s="21">
        <v>3860</v>
      </c>
      <c r="K465" s="21">
        <v>0.5</v>
      </c>
      <c r="L465" s="21">
        <v>0.1</v>
      </c>
      <c r="M465" s="21">
        <v>1206.1120000000001</v>
      </c>
      <c r="N465" s="21">
        <v>703</v>
      </c>
      <c r="O465" s="21">
        <v>40.661900000000003</v>
      </c>
      <c r="R465" s="21">
        <v>3860</v>
      </c>
      <c r="S465" s="21">
        <v>0.5</v>
      </c>
      <c r="T465" s="21">
        <v>0.1</v>
      </c>
      <c r="U465" s="21">
        <v>1208.7058999999999</v>
      </c>
      <c r="V465" s="21">
        <v>703</v>
      </c>
      <c r="W465" s="21">
        <v>40.734099999999998</v>
      </c>
    </row>
    <row r="466" spans="2:23" x14ac:dyDescent="0.3">
      <c r="B466" s="21">
        <v>4060</v>
      </c>
      <c r="C466" s="21">
        <v>0.5</v>
      </c>
      <c r="D466" s="21">
        <v>0.1</v>
      </c>
      <c r="E466" s="21">
        <v>1223.9169999999999</v>
      </c>
      <c r="F466" s="21">
        <v>703</v>
      </c>
      <c r="G466" s="21">
        <v>41.177500000000002</v>
      </c>
      <c r="J466" s="21">
        <v>4060</v>
      </c>
      <c r="K466" s="21">
        <v>0.5</v>
      </c>
      <c r="L466" s="21">
        <v>0.1</v>
      </c>
      <c r="M466" s="21">
        <v>1246.9849999999999</v>
      </c>
      <c r="N466" s="21">
        <v>703</v>
      </c>
      <c r="O466" s="21">
        <v>41.915500000000002</v>
      </c>
      <c r="R466" s="21">
        <v>4060</v>
      </c>
      <c r="S466" s="21">
        <v>0.5</v>
      </c>
      <c r="T466" s="21">
        <v>0.1</v>
      </c>
      <c r="U466" s="21">
        <v>1249.5790999999999</v>
      </c>
      <c r="V466" s="21">
        <v>703</v>
      </c>
      <c r="W466" s="21">
        <v>42.003399999999999</v>
      </c>
    </row>
    <row r="467" spans="2:23" x14ac:dyDescent="0.3">
      <c r="B467" s="21">
        <v>4260</v>
      </c>
      <c r="C467" s="21">
        <v>0.5</v>
      </c>
      <c r="D467" s="21">
        <v>0.1</v>
      </c>
      <c r="E467" s="21">
        <v>1260.3936000000001</v>
      </c>
      <c r="F467" s="21">
        <v>703</v>
      </c>
      <c r="G467" s="21">
        <v>42.380400000000002</v>
      </c>
      <c r="J467" s="21">
        <v>4260</v>
      </c>
      <c r="K467" s="21">
        <v>0.5</v>
      </c>
      <c r="L467" s="21">
        <v>0.1</v>
      </c>
      <c r="M467" s="21">
        <v>1283.1744000000001</v>
      </c>
      <c r="N467" s="21">
        <v>703</v>
      </c>
      <c r="O467" s="21">
        <v>43.2303</v>
      </c>
      <c r="R467" s="21">
        <v>4260</v>
      </c>
      <c r="S467" s="21">
        <v>0.5</v>
      </c>
      <c r="T467" s="21">
        <v>0.1</v>
      </c>
      <c r="U467" s="21">
        <v>1285.7714000000001</v>
      </c>
      <c r="V467" s="21">
        <v>703</v>
      </c>
      <c r="W467" s="21">
        <v>43.332000000000001</v>
      </c>
    </row>
    <row r="468" spans="2:23" x14ac:dyDescent="0.3">
      <c r="B468" s="21">
        <v>4460</v>
      </c>
      <c r="C468" s="21">
        <v>0.5</v>
      </c>
      <c r="D468" s="21">
        <v>0.1</v>
      </c>
      <c r="E468" s="21">
        <v>1292.5377000000001</v>
      </c>
      <c r="F468" s="21">
        <v>703</v>
      </c>
      <c r="G468" s="21">
        <v>43.601300000000002</v>
      </c>
      <c r="J468" s="21">
        <v>4460</v>
      </c>
      <c r="K468" s="21">
        <v>0.5</v>
      </c>
      <c r="L468" s="21">
        <v>0.1</v>
      </c>
      <c r="M468" s="21">
        <v>1315.0625</v>
      </c>
      <c r="N468" s="21">
        <v>703</v>
      </c>
      <c r="O468" s="21">
        <v>44.545000000000002</v>
      </c>
      <c r="R468" s="21">
        <v>4460</v>
      </c>
      <c r="S468" s="21">
        <v>0.5</v>
      </c>
      <c r="T468" s="21">
        <v>0.1</v>
      </c>
      <c r="U468" s="21">
        <v>1317.6418000000001</v>
      </c>
      <c r="V468" s="21">
        <v>703</v>
      </c>
      <c r="W468" s="21">
        <v>44.657600000000002</v>
      </c>
    </row>
    <row r="469" spans="2:23" x14ac:dyDescent="0.3">
      <c r="B469" s="21">
        <v>4660</v>
      </c>
      <c r="C469" s="21">
        <v>0.5</v>
      </c>
      <c r="D469" s="21">
        <v>0.1</v>
      </c>
      <c r="E469" s="21">
        <v>1320.7647999999999</v>
      </c>
      <c r="F469" s="21">
        <v>703</v>
      </c>
      <c r="G469" s="21">
        <v>44.795200000000001</v>
      </c>
      <c r="J469" s="21">
        <v>4660</v>
      </c>
      <c r="K469" s="21">
        <v>0.5</v>
      </c>
      <c r="L469" s="21">
        <v>0.1</v>
      </c>
      <c r="M469" s="21">
        <v>1342.9789000000001</v>
      </c>
      <c r="N469" s="21">
        <v>703</v>
      </c>
      <c r="O469" s="21">
        <v>45.812899999999999</v>
      </c>
      <c r="R469" s="21">
        <v>4660</v>
      </c>
      <c r="S469" s="21">
        <v>0.5</v>
      </c>
      <c r="T469" s="21">
        <v>0.1</v>
      </c>
      <c r="U469" s="21">
        <v>1345.5496000000001</v>
      </c>
      <c r="V469" s="21">
        <v>703</v>
      </c>
      <c r="W469" s="21">
        <v>45.935000000000002</v>
      </c>
    </row>
    <row r="470" spans="2:23" x14ac:dyDescent="0.3">
      <c r="B470" s="21">
        <v>4860</v>
      </c>
      <c r="C470" s="21">
        <v>0.5</v>
      </c>
      <c r="D470" s="21">
        <v>0.1</v>
      </c>
      <c r="E470" s="21">
        <v>1345.3942</v>
      </c>
      <c r="F470" s="21">
        <v>703</v>
      </c>
      <c r="G470" s="21">
        <v>45.927599999999998</v>
      </c>
      <c r="J470" s="21">
        <v>4860</v>
      </c>
      <c r="K470" s="21">
        <v>0.5</v>
      </c>
      <c r="L470" s="21">
        <v>0.1</v>
      </c>
      <c r="M470" s="21">
        <v>1367.3104000000001</v>
      </c>
      <c r="N470" s="21">
        <v>703</v>
      </c>
      <c r="O470" s="21">
        <v>47.0047</v>
      </c>
      <c r="R470" s="21">
        <v>4860</v>
      </c>
      <c r="S470" s="21">
        <v>0.5</v>
      </c>
      <c r="T470" s="21">
        <v>0.1</v>
      </c>
      <c r="U470" s="21">
        <v>1369.8542</v>
      </c>
      <c r="V470" s="21">
        <v>703</v>
      </c>
      <c r="W470" s="21">
        <v>47.133899999999997</v>
      </c>
    </row>
    <row r="471" spans="2:23" x14ac:dyDescent="0.3">
      <c r="B471" s="21">
        <v>4980</v>
      </c>
      <c r="C471" s="21">
        <v>0.5</v>
      </c>
      <c r="D471" s="21">
        <v>0.1</v>
      </c>
      <c r="E471" s="21">
        <v>1358.998</v>
      </c>
      <c r="F471" s="21">
        <v>703</v>
      </c>
      <c r="G471" s="21">
        <v>46.5886</v>
      </c>
      <c r="J471" s="21">
        <v>4980</v>
      </c>
      <c r="K471" s="21">
        <v>0.5</v>
      </c>
      <c r="L471" s="21">
        <v>0.1</v>
      </c>
      <c r="M471" s="21">
        <v>1380.6980000000001</v>
      </c>
      <c r="N471" s="21">
        <v>703</v>
      </c>
      <c r="O471" s="21">
        <v>47.694099999999999</v>
      </c>
      <c r="R471" s="21">
        <v>4980</v>
      </c>
      <c r="S471" s="21">
        <v>0.5</v>
      </c>
      <c r="T471" s="21">
        <v>0.1</v>
      </c>
      <c r="U471" s="21">
        <v>1383.2170000000001</v>
      </c>
      <c r="V471" s="21">
        <v>703</v>
      </c>
      <c r="W471" s="21">
        <v>47.8264</v>
      </c>
    </row>
    <row r="472" spans="2:23" x14ac:dyDescent="0.3">
      <c r="B472" s="21">
        <v>5180</v>
      </c>
      <c r="C472" s="21">
        <v>0.5</v>
      </c>
      <c r="D472" s="21">
        <v>0.1</v>
      </c>
      <c r="E472" s="21">
        <v>1378.6107</v>
      </c>
      <c r="F472" s="21">
        <v>703</v>
      </c>
      <c r="G472" s="21">
        <v>47.585000000000001</v>
      </c>
      <c r="J472" s="21">
        <v>5180</v>
      </c>
      <c r="K472" s="21">
        <v>0.5</v>
      </c>
      <c r="L472" s="21">
        <v>0.1</v>
      </c>
      <c r="M472" s="21">
        <v>1400.0201999999999</v>
      </c>
      <c r="N472" s="21">
        <v>703</v>
      </c>
      <c r="O472" s="21">
        <v>48.7301</v>
      </c>
      <c r="R472" s="21">
        <v>5180</v>
      </c>
      <c r="S472" s="21">
        <v>0.5</v>
      </c>
      <c r="T472" s="21">
        <v>0.1</v>
      </c>
      <c r="U472" s="21">
        <v>1402.5238999999999</v>
      </c>
      <c r="V472" s="21">
        <v>703</v>
      </c>
      <c r="W472" s="21">
        <v>48.867800000000003</v>
      </c>
    </row>
    <row r="473" spans="2:23" x14ac:dyDescent="0.3">
      <c r="B473" s="21">
        <v>5380</v>
      </c>
      <c r="C473" s="21">
        <v>0.5</v>
      </c>
      <c r="D473" s="21">
        <v>0.1</v>
      </c>
      <c r="E473" s="21">
        <v>1395.6168</v>
      </c>
      <c r="F473" s="21">
        <v>703</v>
      </c>
      <c r="G473" s="21">
        <v>48.489699999999999</v>
      </c>
      <c r="J473" s="21">
        <v>5380</v>
      </c>
      <c r="K473" s="21">
        <v>0.5</v>
      </c>
      <c r="L473" s="21">
        <v>0.1</v>
      </c>
      <c r="M473" s="21">
        <v>1416.6980000000001</v>
      </c>
      <c r="N473" s="21">
        <v>703</v>
      </c>
      <c r="O473" s="21">
        <v>49.662399999999998</v>
      </c>
      <c r="R473" s="21">
        <v>5380</v>
      </c>
      <c r="S473" s="21">
        <v>0.5</v>
      </c>
      <c r="T473" s="21">
        <v>0.1</v>
      </c>
      <c r="U473" s="21">
        <v>1419.182</v>
      </c>
      <c r="V473" s="21">
        <v>703</v>
      </c>
      <c r="W473" s="21">
        <v>49.804200000000002</v>
      </c>
    </row>
    <row r="474" spans="2:23" x14ac:dyDescent="0.3">
      <c r="B474" s="21">
        <v>5580</v>
      </c>
      <c r="C474" s="21">
        <v>0.5</v>
      </c>
      <c r="D474" s="21">
        <v>0.1</v>
      </c>
      <c r="E474" s="21">
        <v>1410.2421999999999</v>
      </c>
      <c r="F474" s="21">
        <v>703</v>
      </c>
      <c r="G474" s="21">
        <v>49.2973</v>
      </c>
      <c r="J474" s="21">
        <v>5580</v>
      </c>
      <c r="K474" s="21">
        <v>0.5</v>
      </c>
      <c r="L474" s="21">
        <v>0.1</v>
      </c>
      <c r="M474" s="21">
        <v>1431.0123000000001</v>
      </c>
      <c r="N474" s="21">
        <v>703</v>
      </c>
      <c r="O474" s="21">
        <v>50.49</v>
      </c>
      <c r="R474" s="21">
        <v>5580</v>
      </c>
      <c r="S474" s="21">
        <v>0.5</v>
      </c>
      <c r="T474" s="21">
        <v>0.1</v>
      </c>
      <c r="U474" s="21">
        <v>1433.4782</v>
      </c>
      <c r="V474" s="21">
        <v>703</v>
      </c>
      <c r="W474" s="21">
        <v>50.634999999999998</v>
      </c>
    </row>
    <row r="475" spans="2:23" x14ac:dyDescent="0.3">
      <c r="B475" s="21">
        <v>5780</v>
      </c>
      <c r="C475" s="21">
        <v>0.5</v>
      </c>
      <c r="D475" s="21">
        <v>0.1</v>
      </c>
      <c r="E475" s="21">
        <v>1422.7819</v>
      </c>
      <c r="F475" s="21">
        <v>703</v>
      </c>
      <c r="G475" s="21">
        <v>50.011000000000003</v>
      </c>
      <c r="J475" s="21">
        <v>5780</v>
      </c>
      <c r="K475" s="21">
        <v>0.5</v>
      </c>
      <c r="L475" s="21">
        <v>0.1</v>
      </c>
      <c r="M475" s="21">
        <v>1443.2722000000001</v>
      </c>
      <c r="N475" s="21">
        <v>703</v>
      </c>
      <c r="O475" s="21">
        <v>51.218400000000003</v>
      </c>
      <c r="R475" s="21">
        <v>5780</v>
      </c>
      <c r="S475" s="21">
        <v>0.5</v>
      </c>
      <c r="T475" s="21">
        <v>0.1</v>
      </c>
      <c r="U475" s="21">
        <v>1445.7037</v>
      </c>
      <c r="V475" s="21">
        <v>703</v>
      </c>
      <c r="W475" s="21">
        <v>51.365099999999998</v>
      </c>
    </row>
    <row r="476" spans="2:23" x14ac:dyDescent="0.3">
      <c r="B476" s="21">
        <v>5980</v>
      </c>
      <c r="C476" s="21">
        <v>0.5</v>
      </c>
      <c r="D476" s="21">
        <v>0.1</v>
      </c>
      <c r="E476" s="21">
        <v>1433.5413000000001</v>
      </c>
      <c r="F476" s="21">
        <v>703</v>
      </c>
      <c r="G476" s="21">
        <v>50.638800000000003</v>
      </c>
      <c r="J476" s="21">
        <v>5980</v>
      </c>
      <c r="K476" s="21">
        <v>0.5</v>
      </c>
      <c r="L476" s="21">
        <v>0.1</v>
      </c>
      <c r="M476" s="21">
        <v>1453.7307000000001</v>
      </c>
      <c r="N476" s="21">
        <v>703</v>
      </c>
      <c r="O476" s="21">
        <v>51.853900000000003</v>
      </c>
      <c r="R476" s="21">
        <v>5980</v>
      </c>
      <c r="S476" s="21">
        <v>0.5</v>
      </c>
      <c r="T476" s="21">
        <v>0.1</v>
      </c>
      <c r="U476" s="21">
        <v>1456.1361999999999</v>
      </c>
      <c r="V476" s="21">
        <v>703</v>
      </c>
      <c r="W476" s="21">
        <v>52.001899999999999</v>
      </c>
    </row>
    <row r="477" spans="2:23" x14ac:dyDescent="0.3">
      <c r="B477" s="21">
        <v>6180</v>
      </c>
      <c r="C477" s="21">
        <v>0.5</v>
      </c>
      <c r="D477" s="21">
        <v>0.1</v>
      </c>
      <c r="E477" s="21">
        <v>1442.7252000000001</v>
      </c>
      <c r="F477" s="21">
        <v>703</v>
      </c>
      <c r="G477" s="21">
        <v>51.185600000000001</v>
      </c>
      <c r="J477" s="21">
        <v>6180</v>
      </c>
      <c r="K477" s="21">
        <v>0.5</v>
      </c>
      <c r="L477" s="21">
        <v>0.1</v>
      </c>
      <c r="M477" s="21">
        <v>1462.6351999999999</v>
      </c>
      <c r="N477" s="21">
        <v>703</v>
      </c>
      <c r="O477" s="21">
        <v>52.405000000000001</v>
      </c>
      <c r="R477" s="21">
        <v>6180</v>
      </c>
      <c r="S477" s="21">
        <v>0.5</v>
      </c>
      <c r="T477" s="21">
        <v>0.1</v>
      </c>
      <c r="U477" s="21">
        <v>1465.0112999999999</v>
      </c>
      <c r="V477" s="21">
        <v>703</v>
      </c>
      <c r="W477" s="21">
        <v>52.5535</v>
      </c>
    </row>
    <row r="478" spans="2:23" x14ac:dyDescent="0.3">
      <c r="B478" s="21">
        <v>6380</v>
      </c>
      <c r="C478" s="21">
        <v>0.5</v>
      </c>
      <c r="D478" s="21">
        <v>0.1</v>
      </c>
      <c r="E478" s="21">
        <v>1450.5459000000001</v>
      </c>
      <c r="F478" s="21">
        <v>703</v>
      </c>
      <c r="G478" s="21">
        <v>51.659100000000002</v>
      </c>
      <c r="J478" s="21">
        <v>6380</v>
      </c>
      <c r="K478" s="21">
        <v>0.5</v>
      </c>
      <c r="L478" s="21">
        <v>0.1</v>
      </c>
      <c r="M478" s="21">
        <v>1470.1864</v>
      </c>
      <c r="N478" s="21">
        <v>703</v>
      </c>
      <c r="O478" s="21">
        <v>52.879300000000001</v>
      </c>
      <c r="R478" s="21">
        <v>6380</v>
      </c>
      <c r="S478" s="21">
        <v>0.5</v>
      </c>
      <c r="T478" s="21">
        <v>0.1</v>
      </c>
      <c r="U478" s="21">
        <v>1472.5467000000001</v>
      </c>
      <c r="V478" s="21">
        <v>703</v>
      </c>
      <c r="W478" s="21">
        <v>53.0289</v>
      </c>
    </row>
    <row r="479" spans="2:23" x14ac:dyDescent="0.3">
      <c r="B479" s="21">
        <v>6580</v>
      </c>
      <c r="C479" s="21">
        <v>0.5</v>
      </c>
      <c r="D479" s="21">
        <v>0.1</v>
      </c>
      <c r="E479" s="21">
        <v>1457.1868999999999</v>
      </c>
      <c r="F479" s="21">
        <v>703</v>
      </c>
      <c r="G479" s="21">
        <v>52.066699999999997</v>
      </c>
      <c r="J479" s="21">
        <v>6580</v>
      </c>
      <c r="K479" s="21">
        <v>0.5</v>
      </c>
      <c r="L479" s="21">
        <v>0.1</v>
      </c>
      <c r="M479" s="21">
        <v>1476.5941</v>
      </c>
      <c r="N479" s="21">
        <v>703</v>
      </c>
      <c r="O479" s="21">
        <v>53.286799999999999</v>
      </c>
      <c r="R479" s="21">
        <v>6580</v>
      </c>
      <c r="S479" s="21">
        <v>0.5</v>
      </c>
      <c r="T479" s="21">
        <v>0.1</v>
      </c>
      <c r="U479" s="21">
        <v>1478.9327000000001</v>
      </c>
      <c r="V479" s="21">
        <v>703</v>
      </c>
      <c r="W479" s="21">
        <v>53.436700000000002</v>
      </c>
    </row>
    <row r="480" spans="2:23" x14ac:dyDescent="0.3">
      <c r="B480" s="21">
        <v>6780</v>
      </c>
      <c r="C480" s="21">
        <v>0.5</v>
      </c>
      <c r="D480" s="21">
        <v>0.1</v>
      </c>
      <c r="E480" s="21">
        <v>1462.8416</v>
      </c>
      <c r="F480" s="21">
        <v>703</v>
      </c>
      <c r="G480" s="21">
        <v>52.4178</v>
      </c>
      <c r="J480" s="21">
        <v>6780</v>
      </c>
      <c r="K480" s="21">
        <v>0.5</v>
      </c>
      <c r="L480" s="21">
        <v>0.1</v>
      </c>
      <c r="M480" s="21">
        <v>1482.0261</v>
      </c>
      <c r="N480" s="21">
        <v>703</v>
      </c>
      <c r="O480" s="21">
        <v>53.635800000000003</v>
      </c>
      <c r="R480" s="21">
        <v>6780</v>
      </c>
      <c r="S480" s="21">
        <v>0.5</v>
      </c>
      <c r="T480" s="21">
        <v>0.1</v>
      </c>
      <c r="U480" s="21">
        <v>1484.3371</v>
      </c>
      <c r="V480" s="21">
        <v>703</v>
      </c>
      <c r="W480" s="21">
        <v>53.785299999999999</v>
      </c>
    </row>
    <row r="481" spans="2:23" x14ac:dyDescent="0.3">
      <c r="B481" s="21">
        <v>6980</v>
      </c>
      <c r="C481" s="21">
        <v>0.5</v>
      </c>
      <c r="D481" s="21">
        <v>0.1</v>
      </c>
      <c r="E481" s="21">
        <v>1467.6378</v>
      </c>
      <c r="F481" s="21">
        <v>703</v>
      </c>
      <c r="G481" s="21">
        <v>52.718499999999999</v>
      </c>
      <c r="J481" s="21">
        <v>6980</v>
      </c>
      <c r="K481" s="21">
        <v>0.5</v>
      </c>
      <c r="L481" s="21">
        <v>0.1</v>
      </c>
      <c r="M481" s="21">
        <v>1486.6098</v>
      </c>
      <c r="N481" s="21">
        <v>703</v>
      </c>
      <c r="O481" s="21">
        <v>53.932899999999997</v>
      </c>
      <c r="R481" s="21">
        <v>6980</v>
      </c>
      <c r="S481" s="21">
        <v>0.5</v>
      </c>
      <c r="T481" s="21">
        <v>0.1</v>
      </c>
      <c r="U481" s="21">
        <v>1488.9041</v>
      </c>
      <c r="V481" s="21">
        <v>703</v>
      </c>
      <c r="W481" s="21">
        <v>54.0824</v>
      </c>
    </row>
    <row r="482" spans="2:23" x14ac:dyDescent="0.3">
      <c r="B482" s="21">
        <v>7180</v>
      </c>
      <c r="C482" s="21">
        <v>0.5</v>
      </c>
      <c r="D482" s="21">
        <v>0.1</v>
      </c>
      <c r="E482" s="21">
        <v>1471.6886</v>
      </c>
      <c r="F482" s="21">
        <v>703</v>
      </c>
      <c r="G482" s="21">
        <v>52.974400000000003</v>
      </c>
      <c r="J482" s="21">
        <v>7180</v>
      </c>
      <c r="K482" s="21">
        <v>0.5</v>
      </c>
      <c r="L482" s="21">
        <v>0.1</v>
      </c>
      <c r="M482" s="21">
        <v>1490.4879000000001</v>
      </c>
      <c r="N482" s="21">
        <v>703</v>
      </c>
      <c r="O482" s="21">
        <v>54.185899999999997</v>
      </c>
      <c r="R482" s="21">
        <v>7180</v>
      </c>
      <c r="S482" s="21">
        <v>0.5</v>
      </c>
      <c r="T482" s="21">
        <v>0.1</v>
      </c>
      <c r="U482" s="21">
        <v>1492.7599</v>
      </c>
      <c r="V482" s="21">
        <v>703</v>
      </c>
      <c r="W482" s="21">
        <v>54.334899999999998</v>
      </c>
    </row>
    <row r="483" spans="2:23" x14ac:dyDescent="0.3">
      <c r="B483" s="21">
        <v>7380</v>
      </c>
      <c r="C483" s="21">
        <v>0.5</v>
      </c>
      <c r="D483" s="21">
        <v>0.1</v>
      </c>
      <c r="E483" s="21">
        <v>1475.1196</v>
      </c>
      <c r="F483" s="21">
        <v>703</v>
      </c>
      <c r="G483" s="21">
        <v>53.192700000000002</v>
      </c>
      <c r="J483" s="21">
        <v>7380</v>
      </c>
      <c r="K483" s="21">
        <v>0.5</v>
      </c>
      <c r="L483" s="21">
        <v>0.1</v>
      </c>
      <c r="M483" s="21">
        <v>1493.7511999999999</v>
      </c>
      <c r="N483" s="21">
        <v>703</v>
      </c>
      <c r="O483" s="21">
        <v>54.400100000000002</v>
      </c>
      <c r="R483" s="21">
        <v>7380</v>
      </c>
      <c r="S483" s="21">
        <v>0.5</v>
      </c>
      <c r="T483" s="21">
        <v>0.1</v>
      </c>
      <c r="U483" s="21">
        <v>1496.0115000000001</v>
      </c>
      <c r="V483" s="21">
        <v>703</v>
      </c>
      <c r="W483" s="21">
        <v>54.549100000000003</v>
      </c>
    </row>
    <row r="484" spans="2:23" x14ac:dyDescent="0.3">
      <c r="B484" s="21">
        <v>7580</v>
      </c>
      <c r="C484" s="21">
        <v>0.5</v>
      </c>
      <c r="D484" s="21">
        <v>0.1</v>
      </c>
      <c r="E484" s="21">
        <v>1478.0382</v>
      </c>
      <c r="F484" s="21">
        <v>703</v>
      </c>
      <c r="G484" s="21">
        <v>53.379300000000001</v>
      </c>
      <c r="J484" s="21">
        <v>7580</v>
      </c>
      <c r="K484" s="21">
        <v>0.5</v>
      </c>
      <c r="L484" s="21">
        <v>0.1</v>
      </c>
      <c r="M484" s="21">
        <v>1496.5102999999999</v>
      </c>
      <c r="N484" s="21">
        <v>703</v>
      </c>
      <c r="O484" s="21">
        <v>54.582099999999997</v>
      </c>
      <c r="R484" s="21">
        <v>7580</v>
      </c>
      <c r="S484" s="21">
        <v>0.5</v>
      </c>
      <c r="T484" s="21">
        <v>0.1</v>
      </c>
      <c r="U484" s="21">
        <v>1498.7520999999999</v>
      </c>
      <c r="V484" s="21">
        <v>703</v>
      </c>
      <c r="W484" s="21">
        <v>54.730499999999999</v>
      </c>
    </row>
    <row r="485" spans="2:23" x14ac:dyDescent="0.3">
      <c r="B485" s="21">
        <v>7780</v>
      </c>
      <c r="C485" s="21">
        <v>0.5</v>
      </c>
      <c r="D485" s="21">
        <v>0.1</v>
      </c>
      <c r="E485" s="21">
        <v>1480.5062</v>
      </c>
      <c r="F485" s="21">
        <v>703</v>
      </c>
      <c r="G485" s="21">
        <v>53.5379</v>
      </c>
      <c r="J485" s="21">
        <v>7780</v>
      </c>
      <c r="K485" s="21">
        <v>0.5</v>
      </c>
      <c r="L485" s="21">
        <v>0.1</v>
      </c>
      <c r="M485" s="21">
        <v>1498.825</v>
      </c>
      <c r="N485" s="21">
        <v>703</v>
      </c>
      <c r="O485" s="21">
        <v>54.735300000000002</v>
      </c>
      <c r="R485" s="21">
        <v>7780</v>
      </c>
      <c r="S485" s="21">
        <v>0.5</v>
      </c>
      <c r="T485" s="21">
        <v>0.1</v>
      </c>
      <c r="U485" s="21">
        <v>1501.0599</v>
      </c>
      <c r="V485" s="21">
        <v>703</v>
      </c>
      <c r="W485" s="21">
        <v>54.883899999999997</v>
      </c>
    </row>
    <row r="486" spans="2:23" x14ac:dyDescent="0.3">
      <c r="B486" s="21">
        <v>7980</v>
      </c>
      <c r="C486" s="21">
        <v>0.5</v>
      </c>
      <c r="D486" s="21">
        <v>0.1</v>
      </c>
      <c r="E486" s="21">
        <v>1482.5696</v>
      </c>
      <c r="F486" s="21">
        <v>703</v>
      </c>
      <c r="G486" s="21">
        <v>53.670900000000003</v>
      </c>
      <c r="J486" s="21">
        <v>7980</v>
      </c>
      <c r="K486" s="21">
        <v>0.5</v>
      </c>
      <c r="L486" s="21">
        <v>0.1</v>
      </c>
      <c r="M486" s="21">
        <v>1500.7791</v>
      </c>
      <c r="N486" s="21">
        <v>703</v>
      </c>
      <c r="O486" s="21">
        <v>54.865200000000002</v>
      </c>
      <c r="R486" s="21">
        <v>7980</v>
      </c>
      <c r="S486" s="21">
        <v>0.5</v>
      </c>
      <c r="T486" s="21">
        <v>0.1</v>
      </c>
      <c r="U486" s="21">
        <v>1503.0028</v>
      </c>
      <c r="V486" s="21">
        <v>703</v>
      </c>
      <c r="W486" s="21">
        <v>55.013399999999997</v>
      </c>
    </row>
    <row r="487" spans="2:23" x14ac:dyDescent="0.3">
      <c r="B487" s="21">
        <v>8180</v>
      </c>
      <c r="C487" s="21">
        <v>0.5</v>
      </c>
      <c r="D487" s="21">
        <v>0.1</v>
      </c>
      <c r="E487" s="21">
        <v>1484.3393000000001</v>
      </c>
      <c r="F487" s="21">
        <v>703</v>
      </c>
      <c r="G487" s="21">
        <v>53.785400000000003</v>
      </c>
      <c r="J487" s="21">
        <v>8180</v>
      </c>
      <c r="K487" s="21">
        <v>0.5</v>
      </c>
      <c r="L487" s="21">
        <v>0.1</v>
      </c>
      <c r="M487" s="21">
        <v>1502.4290000000001</v>
      </c>
      <c r="N487" s="21">
        <v>703</v>
      </c>
      <c r="O487" s="21">
        <v>54.975099999999998</v>
      </c>
      <c r="R487" s="21">
        <v>8180</v>
      </c>
      <c r="S487" s="21">
        <v>0.5</v>
      </c>
      <c r="T487" s="21">
        <v>0.1</v>
      </c>
      <c r="U487" s="21">
        <v>1504.6371999999999</v>
      </c>
      <c r="V487" s="21">
        <v>703</v>
      </c>
      <c r="W487" s="21">
        <v>55.122700000000002</v>
      </c>
    </row>
    <row r="488" spans="2:23" x14ac:dyDescent="0.3">
      <c r="B488" s="21">
        <v>8380</v>
      </c>
      <c r="C488" s="21">
        <v>0.5</v>
      </c>
      <c r="D488" s="21">
        <v>0.1</v>
      </c>
      <c r="E488" s="21">
        <v>1485.8081999999999</v>
      </c>
      <c r="F488" s="21">
        <v>703</v>
      </c>
      <c r="G488" s="21">
        <v>53.880699999999997</v>
      </c>
      <c r="J488" s="21">
        <v>8380</v>
      </c>
      <c r="K488" s="21">
        <v>0.5</v>
      </c>
      <c r="L488" s="21">
        <v>0.1</v>
      </c>
      <c r="M488" s="21">
        <v>1503.8197</v>
      </c>
      <c r="N488" s="21">
        <v>703</v>
      </c>
      <c r="O488" s="21">
        <v>55.067999999999998</v>
      </c>
      <c r="R488" s="21">
        <v>8380</v>
      </c>
      <c r="S488" s="21">
        <v>0.5</v>
      </c>
      <c r="T488" s="21">
        <v>0.1</v>
      </c>
      <c r="U488" s="21">
        <v>1506.0121999999999</v>
      </c>
      <c r="V488" s="21">
        <v>703</v>
      </c>
      <c r="W488" s="21">
        <v>55.214799999999997</v>
      </c>
    </row>
    <row r="489" spans="2:23" x14ac:dyDescent="0.3">
      <c r="B489" s="21">
        <v>8400</v>
      </c>
      <c r="C489" s="21">
        <v>0.5</v>
      </c>
      <c r="D489" s="21">
        <v>0.1</v>
      </c>
      <c r="E489" s="21">
        <v>1485.9631999999999</v>
      </c>
      <c r="F489" s="21">
        <v>703</v>
      </c>
      <c r="G489" s="21">
        <v>53.890799999999999</v>
      </c>
      <c r="J489" s="21">
        <v>8400</v>
      </c>
      <c r="K489" s="21">
        <v>0.5</v>
      </c>
      <c r="L489" s="21">
        <v>0.1</v>
      </c>
      <c r="M489" s="21">
        <v>1503.9648</v>
      </c>
      <c r="N489" s="21">
        <v>703</v>
      </c>
      <c r="O489" s="21">
        <v>55.0777</v>
      </c>
      <c r="R489" s="21">
        <v>8400</v>
      </c>
      <c r="S489" s="21">
        <v>0.5</v>
      </c>
      <c r="T489" s="21">
        <v>0.1</v>
      </c>
      <c r="U489" s="21">
        <v>1506.1495</v>
      </c>
      <c r="V489" s="21">
        <v>703</v>
      </c>
      <c r="W489" s="21">
        <v>55.2241</v>
      </c>
    </row>
    <row r="490" spans="2:23" x14ac:dyDescent="0.3">
      <c r="B490" s="21">
        <v>8600</v>
      </c>
      <c r="C490" s="21">
        <v>0.5</v>
      </c>
      <c r="D490" s="21">
        <v>0.1</v>
      </c>
      <c r="E490" s="21">
        <v>1484.9878000000001</v>
      </c>
      <c r="F490" s="21">
        <v>703</v>
      </c>
      <c r="G490" s="21">
        <v>53.827500000000001</v>
      </c>
      <c r="J490" s="21">
        <v>8600</v>
      </c>
      <c r="K490" s="21">
        <v>0.5</v>
      </c>
      <c r="L490" s="21">
        <v>0.1</v>
      </c>
      <c r="M490" s="21">
        <v>1498.6827000000001</v>
      </c>
      <c r="N490" s="21">
        <v>703</v>
      </c>
      <c r="O490" s="21">
        <v>54.725900000000003</v>
      </c>
      <c r="R490" s="21">
        <v>8600</v>
      </c>
      <c r="S490" s="21">
        <v>0.5</v>
      </c>
      <c r="T490" s="21">
        <v>0.1</v>
      </c>
      <c r="U490" s="21">
        <v>1500.2931000000001</v>
      </c>
      <c r="V490" s="21">
        <v>703</v>
      </c>
      <c r="W490" s="21">
        <v>54.832900000000002</v>
      </c>
    </row>
    <row r="491" spans="2:23" x14ac:dyDescent="0.3">
      <c r="B491" s="21">
        <v>8800</v>
      </c>
      <c r="C491" s="21">
        <v>0.5</v>
      </c>
      <c r="D491" s="21">
        <v>0.1</v>
      </c>
      <c r="E491" s="21">
        <v>1480.0705</v>
      </c>
      <c r="F491" s="21">
        <v>703</v>
      </c>
      <c r="G491" s="21">
        <v>53.509799999999998</v>
      </c>
      <c r="J491" s="21">
        <v>8800</v>
      </c>
      <c r="K491" s="21">
        <v>0.5</v>
      </c>
      <c r="L491" s="21">
        <v>0.1</v>
      </c>
      <c r="M491" s="21">
        <v>1489.9677999999999</v>
      </c>
      <c r="N491" s="21">
        <v>703</v>
      </c>
      <c r="O491" s="21">
        <v>54.151899999999998</v>
      </c>
      <c r="R491" s="21">
        <v>8800</v>
      </c>
      <c r="S491" s="21">
        <v>0.5</v>
      </c>
      <c r="T491" s="21">
        <v>0.1</v>
      </c>
      <c r="U491" s="21">
        <v>1491.0857000000001</v>
      </c>
      <c r="V491" s="21">
        <v>703</v>
      </c>
      <c r="W491" s="21">
        <v>54.225099999999998</v>
      </c>
    </row>
    <row r="492" spans="2:23" x14ac:dyDescent="0.3">
      <c r="B492" s="21">
        <v>9000</v>
      </c>
      <c r="C492" s="21">
        <v>0.5</v>
      </c>
      <c r="D492" s="21">
        <v>0.1</v>
      </c>
      <c r="E492" s="21">
        <v>1474.2384</v>
      </c>
      <c r="F492" s="21">
        <v>703</v>
      </c>
      <c r="G492" s="21">
        <v>53.136499999999998</v>
      </c>
      <c r="J492" s="21">
        <v>9000</v>
      </c>
      <c r="K492" s="21">
        <v>0.5</v>
      </c>
      <c r="L492" s="21">
        <v>0.1</v>
      </c>
      <c r="M492" s="21">
        <v>1480.8628000000001</v>
      </c>
      <c r="N492" s="21">
        <v>703</v>
      </c>
      <c r="O492" s="21">
        <v>53.5608</v>
      </c>
      <c r="R492" s="21">
        <v>9000</v>
      </c>
      <c r="S492" s="21">
        <v>0.5</v>
      </c>
      <c r="T492" s="21">
        <v>0.1</v>
      </c>
      <c r="U492" s="21">
        <v>1481.5554999999999</v>
      </c>
      <c r="V492" s="21">
        <v>703</v>
      </c>
      <c r="W492" s="21">
        <v>53.605499999999999</v>
      </c>
    </row>
    <row r="493" spans="2:23" x14ac:dyDescent="0.3">
      <c r="B493" s="21">
        <v>9200</v>
      </c>
      <c r="C493" s="21">
        <v>0.5</v>
      </c>
      <c r="D493" s="21">
        <v>0.1</v>
      </c>
      <c r="E493" s="21">
        <v>1468.6826000000001</v>
      </c>
      <c r="F493" s="21">
        <v>703</v>
      </c>
      <c r="G493" s="21">
        <v>52.784300000000002</v>
      </c>
      <c r="J493" s="21">
        <v>9200</v>
      </c>
      <c r="K493" s="21">
        <v>0.5</v>
      </c>
      <c r="L493" s="21">
        <v>0.1</v>
      </c>
      <c r="M493" s="21">
        <v>1472.4909</v>
      </c>
      <c r="N493" s="21">
        <v>703</v>
      </c>
      <c r="O493" s="21">
        <v>53.025300000000001</v>
      </c>
      <c r="R493" s="21">
        <v>9200</v>
      </c>
      <c r="S493" s="21">
        <v>0.5</v>
      </c>
      <c r="T493" s="21">
        <v>0.1</v>
      </c>
      <c r="U493" s="21">
        <v>1472.8145</v>
      </c>
      <c r="V493" s="21">
        <v>703</v>
      </c>
      <c r="W493" s="21">
        <v>53.045900000000003</v>
      </c>
    </row>
    <row r="494" spans="2:23" x14ac:dyDescent="0.3">
      <c r="B494" s="21">
        <v>9400</v>
      </c>
      <c r="C494" s="21">
        <v>0.5</v>
      </c>
      <c r="D494" s="21">
        <v>0.1</v>
      </c>
      <c r="E494" s="21">
        <v>1463.7603999999999</v>
      </c>
      <c r="F494" s="21">
        <v>703</v>
      </c>
      <c r="G494" s="21">
        <v>52.475200000000001</v>
      </c>
      <c r="J494" s="21">
        <v>9400</v>
      </c>
      <c r="K494" s="21">
        <v>0.5</v>
      </c>
      <c r="L494" s="21">
        <v>0.1</v>
      </c>
      <c r="M494" s="21">
        <v>1465.0971</v>
      </c>
      <c r="N494" s="21">
        <v>703</v>
      </c>
      <c r="O494" s="21">
        <v>52.558900000000001</v>
      </c>
      <c r="R494" s="21">
        <v>9400</v>
      </c>
      <c r="S494" s="21">
        <v>0.5</v>
      </c>
      <c r="T494" s="21">
        <v>0.1</v>
      </c>
      <c r="U494" s="21">
        <v>1465.1015</v>
      </c>
      <c r="V494" s="21">
        <v>703</v>
      </c>
      <c r="W494" s="21">
        <v>52.559199999999997</v>
      </c>
    </row>
    <row r="495" spans="2:23" x14ac:dyDescent="0.3">
      <c r="B495" s="21">
        <v>9600</v>
      </c>
      <c r="C495" s="21">
        <v>0.5</v>
      </c>
      <c r="D495" s="21">
        <v>0.1</v>
      </c>
      <c r="E495" s="21">
        <v>1459.4757999999999</v>
      </c>
      <c r="F495" s="21">
        <v>703</v>
      </c>
      <c r="G495" s="21">
        <v>52.208399999999997</v>
      </c>
      <c r="J495" s="21">
        <v>9600</v>
      </c>
      <c r="K495" s="21">
        <v>0.5</v>
      </c>
      <c r="L495" s="21">
        <v>0.1</v>
      </c>
      <c r="M495" s="21">
        <v>1458.6568</v>
      </c>
      <c r="N495" s="21">
        <v>703</v>
      </c>
      <c r="O495" s="21">
        <v>52.157600000000002</v>
      </c>
      <c r="R495" s="21">
        <v>9600</v>
      </c>
      <c r="S495" s="21">
        <v>0.5</v>
      </c>
      <c r="T495" s="21">
        <v>0.1</v>
      </c>
      <c r="U495" s="21">
        <v>1458.3820000000001</v>
      </c>
      <c r="V495" s="21">
        <v>703</v>
      </c>
      <c r="W495" s="21">
        <v>52.140599999999999</v>
      </c>
    </row>
    <row r="496" spans="2:23" x14ac:dyDescent="0.3">
      <c r="B496" s="21">
        <v>9800</v>
      </c>
      <c r="C496" s="21">
        <v>0.5</v>
      </c>
      <c r="D496" s="21">
        <v>0.1</v>
      </c>
      <c r="E496" s="21">
        <v>1455.7982</v>
      </c>
      <c r="F496" s="21">
        <v>703</v>
      </c>
      <c r="G496" s="21">
        <v>51.981099999999998</v>
      </c>
      <c r="J496" s="21">
        <v>9800</v>
      </c>
      <c r="K496" s="21">
        <v>0.5</v>
      </c>
      <c r="L496" s="21">
        <v>0.1</v>
      </c>
      <c r="M496" s="21">
        <v>1453.0714</v>
      </c>
      <c r="N496" s="21">
        <v>703</v>
      </c>
      <c r="O496" s="21">
        <v>51.813499999999998</v>
      </c>
      <c r="R496" s="21">
        <v>9800</v>
      </c>
      <c r="S496" s="21">
        <v>0.5</v>
      </c>
      <c r="T496" s="21">
        <v>0.1</v>
      </c>
      <c r="U496" s="21">
        <v>1452.5491999999999</v>
      </c>
      <c r="V496" s="21">
        <v>703</v>
      </c>
      <c r="W496" s="21">
        <v>51.781500000000001</v>
      </c>
    </row>
    <row r="497" spans="2:23" x14ac:dyDescent="0.3">
      <c r="B497" s="21">
        <v>10000</v>
      </c>
      <c r="C497" s="21">
        <v>0.5</v>
      </c>
      <c r="D497" s="21">
        <v>0.1</v>
      </c>
      <c r="E497" s="21">
        <v>1452.6237000000001</v>
      </c>
      <c r="F497" s="21">
        <v>703</v>
      </c>
      <c r="G497" s="21">
        <v>51.786099999999998</v>
      </c>
      <c r="J497" s="21">
        <v>10000</v>
      </c>
      <c r="K497" s="21">
        <v>0.5</v>
      </c>
      <c r="L497" s="21">
        <v>0.1</v>
      </c>
      <c r="M497" s="21">
        <v>1448.2339999999999</v>
      </c>
      <c r="N497" s="21">
        <v>703</v>
      </c>
      <c r="O497" s="21">
        <v>51.518300000000004</v>
      </c>
      <c r="R497" s="21">
        <v>10000</v>
      </c>
      <c r="S497" s="21">
        <v>0.5</v>
      </c>
      <c r="T497" s="21">
        <v>0.1</v>
      </c>
      <c r="U497" s="21">
        <v>1447.4960000000001</v>
      </c>
      <c r="V497" s="21">
        <v>703</v>
      </c>
      <c r="W497" s="21">
        <v>51.473599999999998</v>
      </c>
    </row>
    <row r="498" spans="2:23" x14ac:dyDescent="0.3">
      <c r="B498" s="21">
        <v>10200</v>
      </c>
      <c r="C498" s="21">
        <v>0.5</v>
      </c>
      <c r="D498" s="21">
        <v>0.1</v>
      </c>
      <c r="E498" s="21">
        <v>1449.9055000000001</v>
      </c>
      <c r="F498" s="21">
        <v>703</v>
      </c>
      <c r="G498" s="21">
        <v>51.62</v>
      </c>
      <c r="J498" s="21">
        <v>10200</v>
      </c>
      <c r="K498" s="21">
        <v>0.5</v>
      </c>
      <c r="L498" s="21">
        <v>0.1</v>
      </c>
      <c r="M498" s="21">
        <v>1444.0467000000001</v>
      </c>
      <c r="N498" s="21">
        <v>703</v>
      </c>
      <c r="O498" s="21">
        <v>51.265099999999997</v>
      </c>
      <c r="R498" s="21">
        <v>10200</v>
      </c>
      <c r="S498" s="21">
        <v>0.5</v>
      </c>
      <c r="T498" s="21">
        <v>0.1</v>
      </c>
      <c r="U498" s="21">
        <v>1443.1125999999999</v>
      </c>
      <c r="V498" s="21">
        <v>703</v>
      </c>
      <c r="W498" s="21">
        <v>51.2089</v>
      </c>
    </row>
    <row r="499" spans="2:23" x14ac:dyDescent="0.3">
      <c r="B499" s="21">
        <v>10400</v>
      </c>
      <c r="C499" s="21">
        <v>0.5</v>
      </c>
      <c r="D499" s="21">
        <v>0.1</v>
      </c>
      <c r="E499" s="21">
        <v>1447.5741</v>
      </c>
      <c r="F499" s="21">
        <v>703</v>
      </c>
      <c r="G499" s="21">
        <v>51.478299999999997</v>
      </c>
      <c r="J499" s="21">
        <v>10400</v>
      </c>
      <c r="K499" s="21">
        <v>0.5</v>
      </c>
      <c r="L499" s="21">
        <v>0.1</v>
      </c>
      <c r="M499" s="21">
        <v>1440.4102</v>
      </c>
      <c r="N499" s="21">
        <v>703</v>
      </c>
      <c r="O499" s="21">
        <v>51.046799999999998</v>
      </c>
      <c r="R499" s="21">
        <v>10400</v>
      </c>
      <c r="S499" s="21">
        <v>0.5</v>
      </c>
      <c r="T499" s="21">
        <v>0.1</v>
      </c>
      <c r="U499" s="21">
        <v>1439.3088</v>
      </c>
      <c r="V499" s="21">
        <v>703</v>
      </c>
      <c r="W499" s="21">
        <v>50.981000000000002</v>
      </c>
    </row>
    <row r="500" spans="2:23" x14ac:dyDescent="0.3">
      <c r="B500" s="21">
        <v>10600</v>
      </c>
      <c r="C500" s="21">
        <v>0.5</v>
      </c>
      <c r="D500" s="21">
        <v>0.1</v>
      </c>
      <c r="E500" s="21">
        <v>1445.5672</v>
      </c>
      <c r="F500" s="21">
        <v>703</v>
      </c>
      <c r="G500" s="21">
        <v>51.3568</v>
      </c>
      <c r="J500" s="21">
        <v>10600</v>
      </c>
      <c r="K500" s="21">
        <v>0.5</v>
      </c>
      <c r="L500" s="21">
        <v>0.1</v>
      </c>
      <c r="M500" s="21">
        <v>1437.2509</v>
      </c>
      <c r="N500" s="21">
        <v>703</v>
      </c>
      <c r="O500" s="21">
        <v>50.858400000000003</v>
      </c>
      <c r="R500" s="21">
        <v>10600</v>
      </c>
      <c r="S500" s="21">
        <v>0.5</v>
      </c>
      <c r="T500" s="21">
        <v>0.1</v>
      </c>
      <c r="U500" s="21">
        <v>1436.0079000000001</v>
      </c>
      <c r="V500" s="21">
        <v>703</v>
      </c>
      <c r="W500" s="21">
        <v>50.784599999999998</v>
      </c>
    </row>
    <row r="501" spans="2:23" x14ac:dyDescent="0.3">
      <c r="B501" s="21">
        <v>10800</v>
      </c>
      <c r="C501" s="21">
        <v>0.5</v>
      </c>
      <c r="D501" s="21">
        <v>0.1</v>
      </c>
      <c r="E501" s="21">
        <v>1443.8579999999999</v>
      </c>
      <c r="F501" s="21">
        <v>703</v>
      </c>
      <c r="G501" s="21">
        <v>51.253700000000002</v>
      </c>
      <c r="J501" s="21">
        <v>10800</v>
      </c>
      <c r="K501" s="21">
        <v>0.5</v>
      </c>
      <c r="L501" s="21">
        <v>0.1</v>
      </c>
      <c r="M501" s="21">
        <v>1434.5224000000001</v>
      </c>
      <c r="N501" s="21">
        <v>703</v>
      </c>
      <c r="O501" s="21">
        <v>50.6967</v>
      </c>
      <c r="R501" s="21">
        <v>10800</v>
      </c>
      <c r="S501" s="21">
        <v>0.5</v>
      </c>
      <c r="T501" s="21">
        <v>0.1</v>
      </c>
      <c r="U501" s="21">
        <v>1433.1427000000001</v>
      </c>
      <c r="V501" s="21">
        <v>703</v>
      </c>
      <c r="W501" s="21">
        <v>50.615299999999998</v>
      </c>
    </row>
    <row r="502" spans="2:23" x14ac:dyDescent="0.3">
      <c r="B502" s="21">
        <v>11000</v>
      </c>
      <c r="C502" s="21">
        <v>0.5</v>
      </c>
      <c r="D502" s="21">
        <v>0.1</v>
      </c>
      <c r="E502" s="21">
        <v>1442.3695</v>
      </c>
      <c r="F502" s="21">
        <v>703</v>
      </c>
      <c r="G502" s="21">
        <v>51.164200000000001</v>
      </c>
      <c r="J502" s="21">
        <v>11000</v>
      </c>
      <c r="K502" s="21">
        <v>0.5</v>
      </c>
      <c r="L502" s="21">
        <v>0.1</v>
      </c>
      <c r="M502" s="21">
        <v>1432.155</v>
      </c>
      <c r="N502" s="21">
        <v>703</v>
      </c>
      <c r="O502" s="21">
        <v>50.557099999999998</v>
      </c>
      <c r="R502" s="21">
        <v>11000</v>
      </c>
      <c r="S502" s="21">
        <v>0.5</v>
      </c>
      <c r="T502" s="21">
        <v>0.1</v>
      </c>
      <c r="U502" s="21">
        <v>1430.6568</v>
      </c>
      <c r="V502" s="21">
        <v>703</v>
      </c>
      <c r="W502" s="21">
        <v>50.469099999999997</v>
      </c>
    </row>
    <row r="503" spans="2:23" x14ac:dyDescent="0.3">
      <c r="B503" s="21">
        <v>11200</v>
      </c>
      <c r="C503" s="21">
        <v>0.5</v>
      </c>
      <c r="D503" s="21">
        <v>0.1</v>
      </c>
      <c r="E503" s="21">
        <v>1441.1119000000001</v>
      </c>
      <c r="F503" s="21">
        <v>703</v>
      </c>
      <c r="G503" s="21">
        <v>51.088799999999999</v>
      </c>
      <c r="J503" s="21">
        <v>11200</v>
      </c>
      <c r="K503" s="21">
        <v>0.5</v>
      </c>
      <c r="L503" s="21">
        <v>0.1</v>
      </c>
      <c r="M503" s="21">
        <v>1430.1015</v>
      </c>
      <c r="N503" s="21">
        <v>703</v>
      </c>
      <c r="O503" s="21">
        <v>50.436599999999999</v>
      </c>
      <c r="R503" s="21">
        <v>11200</v>
      </c>
      <c r="S503" s="21">
        <v>0.5</v>
      </c>
      <c r="T503" s="21">
        <v>0.1</v>
      </c>
      <c r="U503" s="21">
        <v>1428.4998000000001</v>
      </c>
      <c r="V503" s="21">
        <v>703</v>
      </c>
      <c r="W503" s="21">
        <v>50.3429</v>
      </c>
    </row>
    <row r="504" spans="2:23" x14ac:dyDescent="0.3">
      <c r="B504" s="21">
        <v>11400</v>
      </c>
      <c r="C504" s="21">
        <v>0.5</v>
      </c>
      <c r="D504" s="21">
        <v>0.1</v>
      </c>
      <c r="E504" s="21">
        <v>1440.0154</v>
      </c>
      <c r="F504" s="21">
        <v>703</v>
      </c>
      <c r="G504" s="21">
        <v>51.023200000000003</v>
      </c>
      <c r="J504" s="21">
        <v>11400</v>
      </c>
      <c r="K504" s="21">
        <v>0.5</v>
      </c>
      <c r="L504" s="21">
        <v>0.1</v>
      </c>
      <c r="M504" s="21">
        <v>1428.3235</v>
      </c>
      <c r="N504" s="21">
        <v>703</v>
      </c>
      <c r="O504" s="21">
        <v>50.332599999999999</v>
      </c>
      <c r="R504" s="21">
        <v>11400</v>
      </c>
      <c r="S504" s="21">
        <v>0.5</v>
      </c>
      <c r="T504" s="21">
        <v>0.1</v>
      </c>
      <c r="U504" s="21">
        <v>1426.6293000000001</v>
      </c>
      <c r="V504" s="21">
        <v>703</v>
      </c>
      <c r="W504" s="21">
        <v>50.233899999999998</v>
      </c>
    </row>
    <row r="505" spans="2:23" x14ac:dyDescent="0.3">
      <c r="B505" s="21">
        <v>11600</v>
      </c>
      <c r="C505" s="21">
        <v>0.5</v>
      </c>
      <c r="D505" s="21">
        <v>0.1</v>
      </c>
      <c r="E505" s="21">
        <v>1439.0971</v>
      </c>
      <c r="F505" s="21">
        <v>703</v>
      </c>
      <c r="G505" s="21">
        <v>50.968400000000003</v>
      </c>
      <c r="J505" s="21">
        <v>11600</v>
      </c>
      <c r="K505" s="21">
        <v>0.5</v>
      </c>
      <c r="L505" s="21">
        <v>0.1</v>
      </c>
      <c r="M505" s="21">
        <v>1426.7851000000001</v>
      </c>
      <c r="N505" s="21">
        <v>703</v>
      </c>
      <c r="O505" s="21">
        <v>50.243000000000002</v>
      </c>
      <c r="R505" s="21">
        <v>11600</v>
      </c>
      <c r="S505" s="21">
        <v>0.5</v>
      </c>
      <c r="T505" s="21">
        <v>0.1</v>
      </c>
      <c r="U505" s="21">
        <v>1425.001</v>
      </c>
      <c r="V505" s="21">
        <v>703</v>
      </c>
      <c r="W505" s="21">
        <v>50.139400000000002</v>
      </c>
    </row>
    <row r="506" spans="2:23" x14ac:dyDescent="0.3">
      <c r="B506" s="21">
        <v>11800</v>
      </c>
      <c r="C506" s="21">
        <v>0.5</v>
      </c>
      <c r="D506" s="21">
        <v>0.1</v>
      </c>
      <c r="E506" s="21">
        <v>1438.2922000000001</v>
      </c>
      <c r="F506" s="21">
        <v>703</v>
      </c>
      <c r="G506" s="21">
        <v>50.920400000000001</v>
      </c>
      <c r="J506" s="21">
        <v>11800</v>
      </c>
      <c r="K506" s="21">
        <v>0.5</v>
      </c>
      <c r="L506" s="21">
        <v>0.1</v>
      </c>
      <c r="M506" s="21">
        <v>1425.4413999999999</v>
      </c>
      <c r="N506" s="21">
        <v>703</v>
      </c>
      <c r="O506" s="21">
        <v>50.164900000000003</v>
      </c>
      <c r="R506" s="21">
        <v>11800</v>
      </c>
      <c r="S506" s="21">
        <v>0.5</v>
      </c>
      <c r="T506" s="21">
        <v>0.1</v>
      </c>
      <c r="U506" s="21">
        <v>1423.59</v>
      </c>
      <c r="V506" s="21">
        <v>703</v>
      </c>
      <c r="W506" s="21">
        <v>50.057699999999997</v>
      </c>
    </row>
    <row r="507" spans="2:23" x14ac:dyDescent="0.3">
      <c r="B507" s="21">
        <v>12000</v>
      </c>
      <c r="C507" s="21">
        <v>0.5</v>
      </c>
      <c r="D507" s="21">
        <v>0.1</v>
      </c>
      <c r="E507" s="21">
        <v>1437.6225999999999</v>
      </c>
      <c r="F507" s="21">
        <v>703</v>
      </c>
      <c r="G507" s="21">
        <v>50.880499999999998</v>
      </c>
      <c r="J507" s="21">
        <v>12000</v>
      </c>
      <c r="K507" s="21">
        <v>0.5</v>
      </c>
      <c r="L507" s="21">
        <v>0.1</v>
      </c>
      <c r="M507" s="21">
        <v>1424.2843</v>
      </c>
      <c r="N507" s="21">
        <v>703</v>
      </c>
      <c r="O507" s="21">
        <v>50.097900000000003</v>
      </c>
      <c r="R507" s="21">
        <v>12000</v>
      </c>
      <c r="S507" s="21">
        <v>0.5</v>
      </c>
      <c r="T507" s="21">
        <v>0.1</v>
      </c>
      <c r="U507" s="21">
        <v>1422.3685</v>
      </c>
      <c r="V507" s="21">
        <v>703</v>
      </c>
      <c r="W507" s="21">
        <v>49.987200000000001</v>
      </c>
    </row>
    <row r="508" spans="2:23" x14ac:dyDescent="0.3">
      <c r="B508" s="21">
        <v>12200</v>
      </c>
      <c r="C508" s="21">
        <v>0.5</v>
      </c>
      <c r="D508" s="21">
        <v>0.1</v>
      </c>
      <c r="E508" s="21">
        <v>1437.0262</v>
      </c>
      <c r="F508" s="21">
        <v>703</v>
      </c>
      <c r="G508" s="21">
        <v>50.845100000000002</v>
      </c>
      <c r="J508" s="21">
        <v>12200</v>
      </c>
      <c r="K508" s="21">
        <v>0.5</v>
      </c>
      <c r="L508" s="21">
        <v>0.1</v>
      </c>
      <c r="M508" s="21">
        <v>1423.2901999999999</v>
      </c>
      <c r="N508" s="21">
        <v>703</v>
      </c>
      <c r="O508" s="21">
        <v>50.040399999999998</v>
      </c>
      <c r="R508" s="21">
        <v>12200</v>
      </c>
      <c r="S508" s="21">
        <v>0.5</v>
      </c>
      <c r="T508" s="21">
        <v>0.1</v>
      </c>
      <c r="U508" s="21">
        <v>1421.3110999999999</v>
      </c>
      <c r="V508" s="21">
        <v>703</v>
      </c>
      <c r="W508" s="21">
        <v>49.926299999999998</v>
      </c>
    </row>
    <row r="509" spans="2:23" x14ac:dyDescent="0.3">
      <c r="B509" s="21">
        <v>12400</v>
      </c>
      <c r="C509" s="21">
        <v>0.5</v>
      </c>
      <c r="D509" s="21">
        <v>0.1</v>
      </c>
      <c r="E509" s="21">
        <v>1436.5291</v>
      </c>
      <c r="F509" s="21">
        <v>703</v>
      </c>
      <c r="G509" s="21">
        <v>50.8155</v>
      </c>
      <c r="J509" s="21">
        <v>12400</v>
      </c>
      <c r="K509" s="21">
        <v>0.5</v>
      </c>
      <c r="L509" s="21">
        <v>0.1</v>
      </c>
      <c r="M509" s="21">
        <v>1422.4238</v>
      </c>
      <c r="N509" s="21">
        <v>703</v>
      </c>
      <c r="O509" s="21">
        <v>49.990400000000001</v>
      </c>
      <c r="R509" s="21">
        <v>12400</v>
      </c>
      <c r="S509" s="21">
        <v>0.5</v>
      </c>
      <c r="T509" s="21">
        <v>0.1</v>
      </c>
      <c r="U509" s="21">
        <v>1420.3969999999999</v>
      </c>
      <c r="V509" s="21">
        <v>703</v>
      </c>
      <c r="W509" s="21">
        <v>49.873800000000003</v>
      </c>
    </row>
    <row r="510" spans="2:23" x14ac:dyDescent="0.3">
      <c r="B510" s="21">
        <v>12600</v>
      </c>
      <c r="C510" s="21">
        <v>0.5</v>
      </c>
      <c r="D510" s="21">
        <v>0.1</v>
      </c>
      <c r="E510" s="21">
        <v>1436.0984000000001</v>
      </c>
      <c r="F510" s="21">
        <v>703</v>
      </c>
      <c r="G510" s="21">
        <v>50.79</v>
      </c>
      <c r="J510" s="21">
        <v>12600</v>
      </c>
      <c r="K510" s="21">
        <v>0.5</v>
      </c>
      <c r="L510" s="21">
        <v>0.1</v>
      </c>
      <c r="M510" s="21">
        <v>1421.6697999999999</v>
      </c>
      <c r="N510" s="21">
        <v>703</v>
      </c>
      <c r="O510" s="21">
        <v>49.947000000000003</v>
      </c>
      <c r="R510" s="21">
        <v>12600</v>
      </c>
      <c r="S510" s="21">
        <v>0.5</v>
      </c>
      <c r="T510" s="21">
        <v>0.1</v>
      </c>
      <c r="U510" s="21">
        <v>1419.6068</v>
      </c>
      <c r="V510" s="21">
        <v>703</v>
      </c>
      <c r="W510" s="21">
        <v>49.828499999999998</v>
      </c>
    </row>
    <row r="511" spans="2:23" x14ac:dyDescent="0.3">
      <c r="B511" s="21">
        <v>12800</v>
      </c>
      <c r="C511" s="21">
        <v>0.5</v>
      </c>
      <c r="D511" s="21">
        <v>0.1</v>
      </c>
      <c r="E511" s="21">
        <v>1435.732</v>
      </c>
      <c r="F511" s="21">
        <v>703</v>
      </c>
      <c r="G511" s="21">
        <v>50.768300000000004</v>
      </c>
      <c r="J511" s="21">
        <v>12800</v>
      </c>
      <c r="K511" s="21">
        <v>0.5</v>
      </c>
      <c r="L511" s="21">
        <v>0.1</v>
      </c>
      <c r="M511" s="21">
        <v>1421.0319</v>
      </c>
      <c r="N511" s="21">
        <v>703</v>
      </c>
      <c r="O511" s="21">
        <v>49.910299999999999</v>
      </c>
      <c r="R511" s="21">
        <v>12800</v>
      </c>
      <c r="S511" s="21">
        <v>0.5</v>
      </c>
      <c r="T511" s="21">
        <v>0.1</v>
      </c>
      <c r="U511" s="21">
        <v>1418.925</v>
      </c>
      <c r="V511" s="21">
        <v>703</v>
      </c>
      <c r="W511" s="21">
        <v>49.789499999999997</v>
      </c>
    </row>
    <row r="512" spans="2:23" x14ac:dyDescent="0.3">
      <c r="B512" s="21">
        <v>13000</v>
      </c>
      <c r="C512" s="21">
        <v>0.5</v>
      </c>
      <c r="D512" s="21">
        <v>0.1</v>
      </c>
      <c r="E512" s="21">
        <v>1435.4282000000001</v>
      </c>
      <c r="F512" s="21">
        <v>703</v>
      </c>
      <c r="G512" s="21">
        <v>50.750300000000003</v>
      </c>
      <c r="J512" s="21">
        <v>13000</v>
      </c>
      <c r="K512" s="21">
        <v>0.5</v>
      </c>
      <c r="L512" s="21">
        <v>0.1</v>
      </c>
      <c r="M512" s="21">
        <v>1420.4802999999999</v>
      </c>
      <c r="N512" s="21">
        <v>703</v>
      </c>
      <c r="O512" s="21">
        <v>49.878599999999999</v>
      </c>
      <c r="R512" s="21">
        <v>13000</v>
      </c>
      <c r="S512" s="21">
        <v>0.5</v>
      </c>
      <c r="T512" s="21">
        <v>0.1</v>
      </c>
      <c r="U512" s="21">
        <v>1418.3364999999999</v>
      </c>
      <c r="V512" s="21">
        <v>703</v>
      </c>
      <c r="W512" s="21">
        <v>49.755800000000001</v>
      </c>
    </row>
    <row r="513" spans="2:23" x14ac:dyDescent="0.3">
      <c r="B513" s="21">
        <v>13200</v>
      </c>
      <c r="C513" s="21">
        <v>0.5</v>
      </c>
      <c r="D513" s="21">
        <v>0.1</v>
      </c>
      <c r="E513" s="21">
        <v>1435.1559</v>
      </c>
      <c r="F513" s="21">
        <v>703</v>
      </c>
      <c r="G513" s="21">
        <v>50.734200000000001</v>
      </c>
      <c r="J513" s="21">
        <v>13200</v>
      </c>
      <c r="K513" s="21">
        <v>0.5</v>
      </c>
      <c r="L513" s="21">
        <v>0.1</v>
      </c>
      <c r="M513" s="21">
        <v>1420.0054</v>
      </c>
      <c r="N513" s="21">
        <v>703</v>
      </c>
      <c r="O513" s="21">
        <v>49.851300000000002</v>
      </c>
      <c r="R513" s="21">
        <v>13200</v>
      </c>
      <c r="S513" s="21">
        <v>0.5</v>
      </c>
      <c r="T513" s="21">
        <v>0.1</v>
      </c>
      <c r="U513" s="21">
        <v>1417.8217</v>
      </c>
      <c r="V513" s="21">
        <v>703</v>
      </c>
      <c r="W513" s="21">
        <v>49.726399999999998</v>
      </c>
    </row>
    <row r="514" spans="2:23" x14ac:dyDescent="0.3">
      <c r="B514" s="21">
        <v>13400</v>
      </c>
      <c r="C514" s="21">
        <v>0.5</v>
      </c>
      <c r="D514" s="21">
        <v>0.1</v>
      </c>
      <c r="E514" s="21">
        <v>1434.9440999999999</v>
      </c>
      <c r="F514" s="21">
        <v>703</v>
      </c>
      <c r="G514" s="21">
        <v>50.721600000000002</v>
      </c>
      <c r="J514" s="21">
        <v>13400</v>
      </c>
      <c r="K514" s="21">
        <v>0.5</v>
      </c>
      <c r="L514" s="21">
        <v>0.1</v>
      </c>
      <c r="M514" s="21">
        <v>1419.5816</v>
      </c>
      <c r="N514" s="21">
        <v>703</v>
      </c>
      <c r="O514" s="21">
        <v>49.827100000000002</v>
      </c>
      <c r="R514" s="21">
        <v>13400</v>
      </c>
      <c r="S514" s="21">
        <v>0.5</v>
      </c>
      <c r="T514" s="21">
        <v>0.1</v>
      </c>
      <c r="U514" s="21">
        <v>1417.3786</v>
      </c>
      <c r="V514" s="21">
        <v>703</v>
      </c>
      <c r="W514" s="21">
        <v>49.701099999999997</v>
      </c>
    </row>
    <row r="515" spans="2:23" x14ac:dyDescent="0.3">
      <c r="B515" s="21">
        <v>13600</v>
      </c>
      <c r="C515" s="21">
        <v>0.5</v>
      </c>
      <c r="D515" s="21">
        <v>0.1</v>
      </c>
      <c r="E515" s="21">
        <v>1434.7343000000001</v>
      </c>
      <c r="F515" s="21">
        <v>703</v>
      </c>
      <c r="G515" s="21">
        <v>50.709200000000003</v>
      </c>
      <c r="J515" s="21">
        <v>13600</v>
      </c>
      <c r="K515" s="21">
        <v>0.5</v>
      </c>
      <c r="L515" s="21">
        <v>0.1</v>
      </c>
      <c r="M515" s="21">
        <v>1419.2203999999999</v>
      </c>
      <c r="N515" s="21">
        <v>703</v>
      </c>
      <c r="O515" s="21">
        <v>49.806399999999996</v>
      </c>
      <c r="R515" s="21">
        <v>13600</v>
      </c>
      <c r="S515" s="21">
        <v>0.5</v>
      </c>
      <c r="T515" s="21">
        <v>0.1</v>
      </c>
      <c r="U515" s="21">
        <v>1416.9972</v>
      </c>
      <c r="V515" s="21">
        <v>703</v>
      </c>
      <c r="W515" s="21">
        <v>49.679400000000001</v>
      </c>
    </row>
    <row r="516" spans="2:23" x14ac:dyDescent="0.3">
      <c r="B516" s="21">
        <v>13800</v>
      </c>
      <c r="C516" s="21">
        <v>0.5</v>
      </c>
      <c r="D516" s="21">
        <v>0.1</v>
      </c>
      <c r="E516" s="21">
        <v>1434.5839000000001</v>
      </c>
      <c r="F516" s="21">
        <v>703</v>
      </c>
      <c r="G516" s="21">
        <v>50.700299999999999</v>
      </c>
      <c r="J516" s="21">
        <v>13800</v>
      </c>
      <c r="K516" s="21">
        <v>0.5</v>
      </c>
      <c r="L516" s="21">
        <v>0.1</v>
      </c>
      <c r="M516" s="21">
        <v>1418.9160999999999</v>
      </c>
      <c r="N516" s="21">
        <v>703</v>
      </c>
      <c r="O516" s="21">
        <v>49.789000000000001</v>
      </c>
      <c r="R516" s="21">
        <v>13800</v>
      </c>
      <c r="S516" s="21">
        <v>0.5</v>
      </c>
      <c r="T516" s="21">
        <v>0.1</v>
      </c>
      <c r="U516" s="21">
        <v>1416.67</v>
      </c>
      <c r="V516" s="21">
        <v>703</v>
      </c>
      <c r="W516" s="21">
        <v>49.660800000000002</v>
      </c>
    </row>
    <row r="517" spans="2:23" x14ac:dyDescent="0.3">
      <c r="B517" s="21">
        <v>14000</v>
      </c>
      <c r="C517" s="21">
        <v>0.5</v>
      </c>
      <c r="D517" s="21">
        <v>0.1</v>
      </c>
      <c r="E517" s="21">
        <v>1434.4345000000001</v>
      </c>
      <c r="F517" s="21">
        <v>703</v>
      </c>
      <c r="G517" s="21">
        <v>50.691499999999998</v>
      </c>
      <c r="J517" s="21">
        <v>14000</v>
      </c>
      <c r="K517" s="21">
        <v>0.5</v>
      </c>
      <c r="L517" s="21">
        <v>0.1</v>
      </c>
      <c r="M517" s="21">
        <v>1418.6472000000001</v>
      </c>
      <c r="N517" s="21">
        <v>703</v>
      </c>
      <c r="O517" s="21">
        <v>49.773600000000002</v>
      </c>
      <c r="R517" s="21">
        <v>14000</v>
      </c>
      <c r="S517" s="21">
        <v>0.5</v>
      </c>
      <c r="T517" s="21">
        <v>0.1</v>
      </c>
      <c r="U517" s="21">
        <v>1416.3893</v>
      </c>
      <c r="V517" s="21">
        <v>703</v>
      </c>
      <c r="W517" s="21">
        <v>49.644799999999996</v>
      </c>
    </row>
    <row r="518" spans="2:23" x14ac:dyDescent="0.3">
      <c r="B518" s="21">
        <v>14200</v>
      </c>
      <c r="C518" s="21">
        <v>0.5</v>
      </c>
      <c r="D518" s="21">
        <v>0.1</v>
      </c>
      <c r="E518" s="21">
        <v>1434.3161</v>
      </c>
      <c r="F518" s="21">
        <v>703</v>
      </c>
      <c r="G518" s="21">
        <v>50.6845</v>
      </c>
      <c r="J518" s="21">
        <v>14200</v>
      </c>
      <c r="K518" s="21">
        <v>0.5</v>
      </c>
      <c r="L518" s="21">
        <v>0.1</v>
      </c>
      <c r="M518" s="21">
        <v>1418.4093</v>
      </c>
      <c r="N518" s="21">
        <v>703</v>
      </c>
      <c r="O518" s="21">
        <v>49.76</v>
      </c>
      <c r="R518" s="21">
        <v>14200</v>
      </c>
      <c r="S518" s="21">
        <v>0.5</v>
      </c>
      <c r="T518" s="21">
        <v>0.1</v>
      </c>
      <c r="U518" s="21">
        <v>1416.1413</v>
      </c>
      <c r="V518" s="21">
        <v>703</v>
      </c>
      <c r="W518" s="21">
        <v>49.630699999999997</v>
      </c>
    </row>
    <row r="519" spans="2:23" x14ac:dyDescent="0.3">
      <c r="B519" s="21">
        <v>14400</v>
      </c>
      <c r="C519" s="21">
        <v>0.5</v>
      </c>
      <c r="D519" s="21">
        <v>0.1</v>
      </c>
      <c r="E519" s="21">
        <v>1434.2262000000001</v>
      </c>
      <c r="F519" s="21">
        <v>703</v>
      </c>
      <c r="G519" s="21">
        <v>50.679200000000002</v>
      </c>
      <c r="J519" s="21">
        <v>14400</v>
      </c>
      <c r="K519" s="21">
        <v>0.5</v>
      </c>
      <c r="L519" s="21">
        <v>0.1</v>
      </c>
      <c r="M519" s="21">
        <v>1418.2168999999999</v>
      </c>
      <c r="N519" s="21">
        <v>703</v>
      </c>
      <c r="O519" s="21">
        <v>49.749000000000002</v>
      </c>
      <c r="R519" s="21">
        <v>14400</v>
      </c>
      <c r="S519" s="21">
        <v>0.5</v>
      </c>
      <c r="T519" s="21">
        <v>0.1</v>
      </c>
      <c r="U519" s="21">
        <v>1415.9296999999999</v>
      </c>
      <c r="V519" s="21">
        <v>703</v>
      </c>
      <c r="W519" s="21">
        <v>49.618600000000001</v>
      </c>
    </row>
    <row r="520" spans="2:23" x14ac:dyDescent="0.3">
      <c r="B520" s="21">
        <v>14600</v>
      </c>
      <c r="C520" s="21">
        <v>0.5</v>
      </c>
      <c r="D520" s="21">
        <v>0.1</v>
      </c>
      <c r="E520" s="21">
        <v>1434.1366</v>
      </c>
      <c r="F520" s="21">
        <v>703</v>
      </c>
      <c r="G520" s="21">
        <v>50.673900000000003</v>
      </c>
      <c r="J520" s="21">
        <v>14600</v>
      </c>
      <c r="K520" s="21">
        <v>0.5</v>
      </c>
      <c r="L520" s="21">
        <v>0.1</v>
      </c>
      <c r="M520" s="21">
        <v>1418.0508</v>
      </c>
      <c r="N520" s="21">
        <v>703</v>
      </c>
      <c r="O520" s="21">
        <v>49.7395</v>
      </c>
      <c r="R520" s="21">
        <v>14600</v>
      </c>
      <c r="S520" s="21">
        <v>0.5</v>
      </c>
      <c r="T520" s="21">
        <v>0.1</v>
      </c>
      <c r="U520" s="21">
        <v>1415.7492</v>
      </c>
      <c r="V520" s="21">
        <v>703</v>
      </c>
      <c r="W520" s="21">
        <v>49.608400000000003</v>
      </c>
    </row>
    <row r="521" spans="2:23" x14ac:dyDescent="0.3">
      <c r="B521" s="21">
        <v>14800</v>
      </c>
      <c r="C521" s="21">
        <v>0.5</v>
      </c>
      <c r="D521" s="21">
        <v>0.1</v>
      </c>
      <c r="E521" s="21">
        <v>1434.0473999999999</v>
      </c>
      <c r="F521" s="21">
        <v>703</v>
      </c>
      <c r="G521" s="21">
        <v>50.668599999999998</v>
      </c>
      <c r="J521" s="21">
        <v>14800</v>
      </c>
      <c r="K521" s="21">
        <v>0.5</v>
      </c>
      <c r="L521" s="21">
        <v>0.1</v>
      </c>
      <c r="M521" s="21">
        <v>1417.9077</v>
      </c>
      <c r="N521" s="21">
        <v>703</v>
      </c>
      <c r="O521" s="21">
        <v>49.731299999999997</v>
      </c>
      <c r="R521" s="21">
        <v>14800</v>
      </c>
      <c r="S521" s="21">
        <v>0.5</v>
      </c>
      <c r="T521" s="21">
        <v>0.1</v>
      </c>
      <c r="U521" s="21">
        <v>1415.5884000000001</v>
      </c>
      <c r="V521" s="21">
        <v>703</v>
      </c>
      <c r="W521" s="21">
        <v>49.599200000000003</v>
      </c>
    </row>
    <row r="522" spans="2:23" x14ac:dyDescent="0.3">
      <c r="B522" s="21">
        <v>15000</v>
      </c>
      <c r="C522" s="21">
        <v>0.5</v>
      </c>
      <c r="D522" s="21">
        <v>0.1</v>
      </c>
      <c r="E522" s="21">
        <v>1433.9885999999999</v>
      </c>
      <c r="F522" s="21">
        <v>703</v>
      </c>
      <c r="G522" s="21">
        <v>50.665199999999999</v>
      </c>
      <c r="J522" s="21">
        <v>15000</v>
      </c>
      <c r="K522" s="21">
        <v>0.5</v>
      </c>
      <c r="L522" s="21">
        <v>0.1</v>
      </c>
      <c r="M522" s="21">
        <v>1417.7876000000001</v>
      </c>
      <c r="N522" s="21">
        <v>703</v>
      </c>
      <c r="O522" s="21">
        <v>49.724499999999999</v>
      </c>
      <c r="R522" s="21">
        <v>15000</v>
      </c>
      <c r="S522" s="21">
        <v>0.5</v>
      </c>
      <c r="T522" s="21">
        <v>0.1</v>
      </c>
      <c r="U522" s="21">
        <v>1415.4525000000001</v>
      </c>
      <c r="V522" s="21">
        <v>703</v>
      </c>
      <c r="W522" s="21">
        <v>49.591500000000003</v>
      </c>
    </row>
    <row r="523" spans="2:23" x14ac:dyDescent="0.3">
      <c r="B523" s="21">
        <v>15200</v>
      </c>
      <c r="C523" s="21">
        <v>0.5</v>
      </c>
      <c r="D523" s="21">
        <v>0.1</v>
      </c>
      <c r="E523" s="21">
        <v>1433.93</v>
      </c>
      <c r="F523" s="21">
        <v>703</v>
      </c>
      <c r="G523" s="21">
        <v>50.661700000000003</v>
      </c>
      <c r="J523" s="21">
        <v>15200</v>
      </c>
      <c r="K523" s="21">
        <v>0.5</v>
      </c>
      <c r="L523" s="21">
        <v>0.1</v>
      </c>
      <c r="M523" s="21">
        <v>1417.6714999999999</v>
      </c>
      <c r="N523" s="21">
        <v>703</v>
      </c>
      <c r="O523" s="21">
        <v>49.717799999999997</v>
      </c>
      <c r="R523" s="21">
        <v>15200</v>
      </c>
      <c r="S523" s="21">
        <v>0.5</v>
      </c>
      <c r="T523" s="21">
        <v>0.1</v>
      </c>
      <c r="U523" s="21">
        <v>1415.3379</v>
      </c>
      <c r="V523" s="21">
        <v>703</v>
      </c>
      <c r="W523" s="21">
        <v>49.585000000000001</v>
      </c>
    </row>
    <row r="524" spans="2:23" x14ac:dyDescent="0.3">
      <c r="B524" s="21">
        <v>15400</v>
      </c>
      <c r="C524" s="21">
        <v>0.5</v>
      </c>
      <c r="D524" s="21">
        <v>0.1</v>
      </c>
      <c r="E524" s="21">
        <v>1433.8715</v>
      </c>
      <c r="F524" s="21">
        <v>703</v>
      </c>
      <c r="G524" s="21">
        <v>50.658200000000001</v>
      </c>
      <c r="J524" s="21">
        <v>15400</v>
      </c>
      <c r="K524" s="21">
        <v>0.5</v>
      </c>
      <c r="L524" s="21">
        <v>0.1</v>
      </c>
      <c r="M524" s="21">
        <v>1417.5751</v>
      </c>
      <c r="N524" s="21">
        <v>703</v>
      </c>
      <c r="O524" s="21">
        <v>49.712299999999999</v>
      </c>
      <c r="R524" s="21">
        <v>15400</v>
      </c>
      <c r="S524" s="21">
        <v>0.5</v>
      </c>
      <c r="T524" s="21">
        <v>0.1</v>
      </c>
      <c r="U524" s="21">
        <v>1415.2345</v>
      </c>
      <c r="V524" s="21">
        <v>703</v>
      </c>
      <c r="W524" s="21">
        <v>49.5792</v>
      </c>
    </row>
    <row r="525" spans="2:23" x14ac:dyDescent="0.3">
      <c r="B525" s="21">
        <v>15600</v>
      </c>
      <c r="C525" s="21">
        <v>0.5</v>
      </c>
      <c r="D525" s="21">
        <v>0.1</v>
      </c>
      <c r="E525" s="21">
        <v>1433.8411000000001</v>
      </c>
      <c r="F525" s="21">
        <v>703</v>
      </c>
      <c r="G525" s="21">
        <v>50.656500000000001</v>
      </c>
      <c r="J525" s="21">
        <v>15600</v>
      </c>
      <c r="K525" s="21">
        <v>0.5</v>
      </c>
      <c r="L525" s="21">
        <v>0.1</v>
      </c>
      <c r="M525" s="21">
        <v>1417.499</v>
      </c>
      <c r="N525" s="21">
        <v>703</v>
      </c>
      <c r="O525" s="21">
        <v>49.707999999999998</v>
      </c>
      <c r="R525" s="21">
        <v>15600</v>
      </c>
      <c r="S525" s="21">
        <v>0.5</v>
      </c>
      <c r="T525" s="21">
        <v>0.1</v>
      </c>
      <c r="U525" s="21">
        <v>1415.1488999999999</v>
      </c>
      <c r="V525" s="21">
        <v>703</v>
      </c>
      <c r="W525" s="21">
        <v>49.574300000000001</v>
      </c>
    </row>
    <row r="526" spans="2:23" x14ac:dyDescent="0.3">
      <c r="B526" s="21">
        <v>15800</v>
      </c>
      <c r="C526" s="21">
        <v>0.5</v>
      </c>
      <c r="D526" s="21">
        <v>0.1</v>
      </c>
      <c r="E526" s="21">
        <v>1433.8107</v>
      </c>
      <c r="F526" s="21">
        <v>703</v>
      </c>
      <c r="G526" s="21">
        <v>50.654699999999998</v>
      </c>
      <c r="J526" s="21">
        <v>15800</v>
      </c>
      <c r="K526" s="21">
        <v>0.5</v>
      </c>
      <c r="L526" s="21">
        <v>0.1</v>
      </c>
      <c r="M526" s="21">
        <v>1417.4246000000001</v>
      </c>
      <c r="N526" s="21">
        <v>703</v>
      </c>
      <c r="O526" s="21">
        <v>49.703800000000001</v>
      </c>
      <c r="R526" s="21">
        <v>15800</v>
      </c>
      <c r="S526" s="21">
        <v>0.5</v>
      </c>
      <c r="T526" s="21">
        <v>0.1</v>
      </c>
      <c r="U526" s="21">
        <v>1415.0708999999999</v>
      </c>
      <c r="V526" s="21">
        <v>703</v>
      </c>
      <c r="W526" s="21">
        <v>49.569899999999997</v>
      </c>
    </row>
    <row r="527" spans="2:23" x14ac:dyDescent="0.3">
      <c r="B527" s="21">
        <v>16000</v>
      </c>
      <c r="C527" s="21">
        <v>0.5</v>
      </c>
      <c r="D527" s="21">
        <v>0.1</v>
      </c>
      <c r="E527" s="21">
        <v>1433.7804000000001</v>
      </c>
      <c r="F527" s="21">
        <v>703</v>
      </c>
      <c r="G527" s="21">
        <v>50.652900000000002</v>
      </c>
      <c r="J527" s="21">
        <v>16000</v>
      </c>
      <c r="K527" s="21">
        <v>0.5</v>
      </c>
      <c r="L527" s="21">
        <v>0.1</v>
      </c>
      <c r="M527" s="21">
        <v>1417.3681999999999</v>
      </c>
      <c r="N527" s="21">
        <v>703</v>
      </c>
      <c r="O527" s="21">
        <v>49.700499999999998</v>
      </c>
      <c r="R527" s="21">
        <v>16000</v>
      </c>
      <c r="S527" s="21">
        <v>0.5</v>
      </c>
      <c r="T527" s="21">
        <v>0.1</v>
      </c>
      <c r="U527" s="21">
        <v>1415.0069000000001</v>
      </c>
      <c r="V527" s="21">
        <v>703</v>
      </c>
      <c r="W527" s="21">
        <v>49.566200000000002</v>
      </c>
    </row>
    <row r="528" spans="2:23" x14ac:dyDescent="0.3">
      <c r="B528" s="21">
        <v>16200</v>
      </c>
      <c r="C528" s="21">
        <v>0.5</v>
      </c>
      <c r="D528" s="21">
        <v>0.1</v>
      </c>
      <c r="E528" s="21">
        <v>1433.7501</v>
      </c>
      <c r="F528" s="21">
        <v>703</v>
      </c>
      <c r="G528" s="21">
        <v>50.6511</v>
      </c>
      <c r="J528" s="21">
        <v>16200</v>
      </c>
      <c r="K528" s="21">
        <v>0.5</v>
      </c>
      <c r="L528" s="21">
        <v>0.1</v>
      </c>
      <c r="M528" s="21">
        <v>1417.3127999999999</v>
      </c>
      <c r="N528" s="21">
        <v>703</v>
      </c>
      <c r="O528" s="21">
        <v>49.697400000000002</v>
      </c>
      <c r="R528" s="21">
        <v>16200</v>
      </c>
      <c r="S528" s="21">
        <v>0.5</v>
      </c>
      <c r="T528" s="21">
        <v>0.1</v>
      </c>
      <c r="U528" s="21">
        <v>1414.9481000000001</v>
      </c>
      <c r="V528" s="21">
        <v>703</v>
      </c>
      <c r="W528" s="21">
        <v>49.562899999999999</v>
      </c>
    </row>
    <row r="529" spans="2:23" x14ac:dyDescent="0.3">
      <c r="B529" s="21">
        <v>16400</v>
      </c>
      <c r="C529" s="21">
        <v>0.5</v>
      </c>
      <c r="D529" s="21">
        <v>0.1</v>
      </c>
      <c r="E529" s="21">
        <v>1433.7198000000001</v>
      </c>
      <c r="F529" s="21">
        <v>703</v>
      </c>
      <c r="G529" s="21">
        <v>50.649299999999997</v>
      </c>
      <c r="J529" s="21">
        <v>16400</v>
      </c>
      <c r="K529" s="21">
        <v>0.5</v>
      </c>
      <c r="L529" s="21">
        <v>0.1</v>
      </c>
      <c r="M529" s="21">
        <v>1417.2761</v>
      </c>
      <c r="N529" s="21">
        <v>703</v>
      </c>
      <c r="O529" s="21">
        <v>49.695300000000003</v>
      </c>
      <c r="R529" s="21">
        <v>16400</v>
      </c>
      <c r="S529" s="21">
        <v>0.5</v>
      </c>
      <c r="T529" s="21">
        <v>0.1</v>
      </c>
      <c r="U529" s="21">
        <v>1414.9015999999999</v>
      </c>
      <c r="V529" s="21">
        <v>703</v>
      </c>
      <c r="W529" s="21">
        <v>49.560299999999998</v>
      </c>
    </row>
    <row r="530" spans="2:23" x14ac:dyDescent="0.3">
      <c r="B530" s="21">
        <v>16600</v>
      </c>
      <c r="C530" s="21">
        <v>0.5</v>
      </c>
      <c r="D530" s="21">
        <v>0.1</v>
      </c>
      <c r="E530" s="21">
        <v>1433.7186999999999</v>
      </c>
      <c r="F530" s="21">
        <v>703</v>
      </c>
      <c r="G530" s="21">
        <v>50.6492</v>
      </c>
      <c r="J530" s="21">
        <v>16600</v>
      </c>
      <c r="K530" s="21">
        <v>0.5</v>
      </c>
      <c r="L530" s="21">
        <v>0.1</v>
      </c>
      <c r="M530" s="21">
        <v>1417.2399</v>
      </c>
      <c r="N530" s="21">
        <v>703</v>
      </c>
      <c r="O530" s="21">
        <v>49.693199999999997</v>
      </c>
      <c r="R530" s="21">
        <v>16600</v>
      </c>
      <c r="S530" s="21">
        <v>0.5</v>
      </c>
      <c r="T530" s="21">
        <v>0.1</v>
      </c>
      <c r="U530" s="21">
        <v>1414.8584000000001</v>
      </c>
      <c r="V530" s="21">
        <v>703</v>
      </c>
      <c r="W530" s="21">
        <v>49.5578</v>
      </c>
    </row>
    <row r="531" spans="2:23" x14ac:dyDescent="0.3">
      <c r="B531" s="21">
        <v>16800</v>
      </c>
      <c r="C531" s="21">
        <v>0.5</v>
      </c>
      <c r="D531" s="21">
        <v>0.1</v>
      </c>
      <c r="E531" s="21">
        <v>1433.7175</v>
      </c>
      <c r="F531" s="21">
        <v>703</v>
      </c>
      <c r="G531" s="21">
        <v>50.6492</v>
      </c>
      <c r="J531" s="21">
        <v>16800</v>
      </c>
      <c r="K531" s="21">
        <v>0.5</v>
      </c>
      <c r="L531" s="21">
        <v>0.1</v>
      </c>
      <c r="M531" s="21">
        <v>1417.2040999999999</v>
      </c>
      <c r="N531" s="21">
        <v>703</v>
      </c>
      <c r="O531" s="21">
        <v>49.691200000000002</v>
      </c>
      <c r="R531" s="21">
        <v>16800</v>
      </c>
      <c r="S531" s="21">
        <v>0.5</v>
      </c>
      <c r="T531" s="21">
        <v>0.1</v>
      </c>
      <c r="U531" s="21">
        <v>1414.8253999999999</v>
      </c>
      <c r="V531" s="21">
        <v>703</v>
      </c>
      <c r="W531" s="21">
        <v>49.555900000000001</v>
      </c>
    </row>
    <row r="532" spans="2:23" x14ac:dyDescent="0.3">
      <c r="B532" s="21">
        <v>17000</v>
      </c>
      <c r="C532" s="21">
        <v>0.5</v>
      </c>
      <c r="D532" s="21">
        <v>0.1</v>
      </c>
      <c r="E532" s="21">
        <v>1433.7164</v>
      </c>
      <c r="F532" s="21">
        <v>703</v>
      </c>
      <c r="G532" s="21">
        <v>50.649099999999997</v>
      </c>
      <c r="J532" s="21">
        <v>17000</v>
      </c>
      <c r="K532" s="21">
        <v>0.5</v>
      </c>
      <c r="L532" s="21">
        <v>0.1</v>
      </c>
      <c r="M532" s="21">
        <v>1417.1686999999999</v>
      </c>
      <c r="N532" s="21">
        <v>703</v>
      </c>
      <c r="O532" s="21">
        <v>49.6892</v>
      </c>
      <c r="R532" s="21">
        <v>17000</v>
      </c>
      <c r="S532" s="21">
        <v>0.5</v>
      </c>
      <c r="T532" s="21">
        <v>0.1</v>
      </c>
      <c r="U532" s="21">
        <v>1414.7943</v>
      </c>
      <c r="V532" s="21">
        <v>703</v>
      </c>
      <c r="W532" s="21">
        <v>49.554200000000002</v>
      </c>
    </row>
    <row r="533" spans="2:23" x14ac:dyDescent="0.3">
      <c r="B533" s="21">
        <v>17200</v>
      </c>
      <c r="C533" s="21">
        <v>0.5</v>
      </c>
      <c r="D533" s="21">
        <v>0.1</v>
      </c>
      <c r="E533" s="21">
        <v>1433.7153000000001</v>
      </c>
      <c r="F533" s="21">
        <v>703</v>
      </c>
      <c r="G533" s="21">
        <v>50.649000000000001</v>
      </c>
      <c r="J533" s="21">
        <v>17200</v>
      </c>
      <c r="K533" s="21">
        <v>0.5</v>
      </c>
      <c r="L533" s="21">
        <v>0.1</v>
      </c>
      <c r="M533" s="21">
        <v>1417.1501000000001</v>
      </c>
      <c r="N533" s="21">
        <v>703</v>
      </c>
      <c r="O533" s="21">
        <v>49.688099999999999</v>
      </c>
      <c r="R533" s="21">
        <v>17200</v>
      </c>
      <c r="S533" s="21">
        <v>0.5</v>
      </c>
      <c r="T533" s="21">
        <v>0.1</v>
      </c>
      <c r="U533" s="21">
        <v>1414.7729999999999</v>
      </c>
      <c r="V533" s="21">
        <v>703</v>
      </c>
      <c r="W533" s="21">
        <v>49.552999999999997</v>
      </c>
    </row>
    <row r="534" spans="2:23" x14ac:dyDescent="0.3">
      <c r="B534" s="21">
        <v>17400</v>
      </c>
      <c r="C534" s="21">
        <v>0.5</v>
      </c>
      <c r="D534" s="21">
        <v>0.1</v>
      </c>
      <c r="E534" s="21">
        <v>1433.7140999999999</v>
      </c>
      <c r="F534" s="21">
        <v>703</v>
      </c>
      <c r="G534" s="21">
        <v>50.649000000000001</v>
      </c>
      <c r="J534" s="21">
        <v>17400</v>
      </c>
      <c r="K534" s="21">
        <v>0.5</v>
      </c>
      <c r="L534" s="21">
        <v>0.1</v>
      </c>
      <c r="M534" s="21">
        <v>1417.1316999999999</v>
      </c>
      <c r="N534" s="21">
        <v>703</v>
      </c>
      <c r="O534" s="21">
        <v>49.687100000000001</v>
      </c>
      <c r="R534" s="21">
        <v>17400</v>
      </c>
      <c r="S534" s="21">
        <v>0.5</v>
      </c>
      <c r="T534" s="21">
        <v>0.1</v>
      </c>
      <c r="U534" s="21">
        <v>1414.7529</v>
      </c>
      <c r="V534" s="21">
        <v>703</v>
      </c>
      <c r="W534" s="21">
        <v>49.5518</v>
      </c>
    </row>
    <row r="535" spans="2:23" x14ac:dyDescent="0.3">
      <c r="B535" s="21">
        <v>17600</v>
      </c>
      <c r="C535" s="21">
        <v>0.5</v>
      </c>
      <c r="D535" s="21">
        <v>0.1</v>
      </c>
      <c r="E535" s="21">
        <v>1433.713</v>
      </c>
      <c r="F535" s="21">
        <v>703</v>
      </c>
      <c r="G535" s="21">
        <v>50.648899999999998</v>
      </c>
      <c r="J535" s="21">
        <v>17600</v>
      </c>
      <c r="K535" s="21">
        <v>0.5</v>
      </c>
      <c r="L535" s="21">
        <v>0.1</v>
      </c>
      <c r="M535" s="21">
        <v>1417.1134</v>
      </c>
      <c r="N535" s="21">
        <v>703</v>
      </c>
      <c r="O535" s="21">
        <v>49.686</v>
      </c>
      <c r="R535" s="21">
        <v>17600</v>
      </c>
      <c r="S535" s="21">
        <v>0.5</v>
      </c>
      <c r="T535" s="21">
        <v>0.1</v>
      </c>
      <c r="U535" s="21">
        <v>1414.7336</v>
      </c>
      <c r="V535" s="21">
        <v>703</v>
      </c>
      <c r="W535" s="21">
        <v>49.550699999999999</v>
      </c>
    </row>
    <row r="536" spans="2:23" x14ac:dyDescent="0.3">
      <c r="B536" s="21">
        <v>17800</v>
      </c>
      <c r="C536" s="21">
        <v>0.5</v>
      </c>
      <c r="D536" s="21">
        <v>0.1</v>
      </c>
      <c r="E536" s="21">
        <v>1433.7119</v>
      </c>
      <c r="F536" s="21">
        <v>703</v>
      </c>
      <c r="G536" s="21">
        <v>50.648800000000001</v>
      </c>
      <c r="J536" s="21">
        <v>17800</v>
      </c>
      <c r="K536" s="21">
        <v>0.5</v>
      </c>
      <c r="L536" s="21">
        <v>0.1</v>
      </c>
      <c r="M536" s="21">
        <v>1417.0952</v>
      </c>
      <c r="N536" s="21">
        <v>703</v>
      </c>
      <c r="O536" s="21">
        <v>49.685000000000002</v>
      </c>
      <c r="R536" s="21">
        <v>17800</v>
      </c>
      <c r="S536" s="21">
        <v>0.5</v>
      </c>
      <c r="T536" s="21">
        <v>0.1</v>
      </c>
      <c r="U536" s="21">
        <v>1414.7150999999999</v>
      </c>
      <c r="V536" s="21">
        <v>703</v>
      </c>
      <c r="W536" s="21">
        <v>49.549700000000001</v>
      </c>
    </row>
    <row r="537" spans="2:23" x14ac:dyDescent="0.3">
      <c r="B537" s="21">
        <v>18000</v>
      </c>
      <c r="C537" s="21">
        <v>0.5</v>
      </c>
      <c r="D537" s="21">
        <v>0.1</v>
      </c>
      <c r="E537" s="21">
        <v>1433.7107000000001</v>
      </c>
      <c r="F537" s="21">
        <v>703</v>
      </c>
      <c r="G537" s="21">
        <v>50.648800000000001</v>
      </c>
      <c r="J537" s="21">
        <v>18000</v>
      </c>
      <c r="K537" s="21">
        <v>0.5</v>
      </c>
      <c r="L537" s="21">
        <v>0.1</v>
      </c>
      <c r="M537" s="21">
        <v>1417.0771</v>
      </c>
      <c r="N537" s="21">
        <v>703</v>
      </c>
      <c r="O537" s="21">
        <v>49.683900000000001</v>
      </c>
      <c r="R537" s="21">
        <v>18000</v>
      </c>
      <c r="S537" s="21">
        <v>0.5</v>
      </c>
      <c r="T537" s="21">
        <v>0.1</v>
      </c>
      <c r="U537" s="21">
        <v>1414.7050999999999</v>
      </c>
      <c r="V537" s="21">
        <v>703</v>
      </c>
      <c r="W537" s="21">
        <v>49.549100000000003</v>
      </c>
    </row>
    <row r="538" spans="2:23" x14ac:dyDescent="0.3">
      <c r="B538" s="21">
        <v>18200</v>
      </c>
      <c r="C538" s="21">
        <v>0.5</v>
      </c>
      <c r="D538" s="21">
        <v>0.1</v>
      </c>
      <c r="E538" s="21">
        <v>1433.7095999999999</v>
      </c>
      <c r="F538" s="21">
        <v>703</v>
      </c>
      <c r="G538" s="21">
        <v>50.648699999999998</v>
      </c>
      <c r="J538" s="21">
        <v>18200</v>
      </c>
      <c r="K538" s="21">
        <v>0.5</v>
      </c>
      <c r="L538" s="21">
        <v>0.1</v>
      </c>
      <c r="M538" s="21">
        <v>1417.0590999999999</v>
      </c>
      <c r="N538" s="21">
        <v>703</v>
      </c>
      <c r="O538" s="21">
        <v>49.682899999999997</v>
      </c>
      <c r="R538" s="21">
        <v>18200</v>
      </c>
      <c r="S538" s="21">
        <v>0.5</v>
      </c>
      <c r="T538" s="21">
        <v>0.1</v>
      </c>
      <c r="U538" s="21">
        <v>1414.6953000000001</v>
      </c>
      <c r="V538" s="21">
        <v>703</v>
      </c>
      <c r="W538" s="21">
        <v>49.5486</v>
      </c>
    </row>
    <row r="539" spans="2:23" x14ac:dyDescent="0.3">
      <c r="B539" s="21">
        <v>18400</v>
      </c>
      <c r="C539" s="21">
        <v>0.5</v>
      </c>
      <c r="D539" s="21">
        <v>0.1</v>
      </c>
      <c r="E539" s="21">
        <v>1433.7085</v>
      </c>
      <c r="F539" s="21">
        <v>703</v>
      </c>
      <c r="G539" s="21">
        <v>50.648600000000002</v>
      </c>
      <c r="J539" s="21">
        <v>18400</v>
      </c>
      <c r="K539" s="21">
        <v>0.5</v>
      </c>
      <c r="L539" s="21">
        <v>0.1</v>
      </c>
      <c r="M539" s="21">
        <v>1417.0583999999999</v>
      </c>
      <c r="N539" s="21">
        <v>703</v>
      </c>
      <c r="O539" s="21">
        <v>49.682899999999997</v>
      </c>
      <c r="R539" s="21">
        <v>18400</v>
      </c>
      <c r="S539" s="21">
        <v>0.5</v>
      </c>
      <c r="T539" s="21">
        <v>0.1</v>
      </c>
      <c r="U539" s="21">
        <v>1414.6858</v>
      </c>
      <c r="V539" s="21">
        <v>703</v>
      </c>
      <c r="W539" s="21">
        <v>49.548000000000002</v>
      </c>
    </row>
    <row r="540" spans="2:23" x14ac:dyDescent="0.3">
      <c r="K540" s="2"/>
      <c r="L540" s="2"/>
      <c r="M540" s="2"/>
      <c r="N540" s="2"/>
      <c r="O540" s="2"/>
      <c r="S540" s="2"/>
      <c r="T540" s="2"/>
      <c r="U540" s="2"/>
      <c r="V540" s="2"/>
      <c r="W540" s="2"/>
    </row>
    <row r="541" spans="2:23" x14ac:dyDescent="0.3">
      <c r="K541" s="2"/>
      <c r="L541" s="2"/>
      <c r="M541" s="2"/>
      <c r="N541" s="2"/>
      <c r="O541" s="2"/>
      <c r="S541" s="2"/>
      <c r="T541" s="2"/>
      <c r="U541" s="2"/>
      <c r="V541" s="2"/>
      <c r="W541" s="2"/>
    </row>
    <row r="542" spans="2:23" ht="16.2" thickBot="1" x14ac:dyDescent="0.35">
      <c r="B542" s="1" t="s">
        <v>19</v>
      </c>
      <c r="C542" s="42" t="s">
        <v>20</v>
      </c>
      <c r="D542" s="42"/>
      <c r="E542" s="42"/>
      <c r="J542" s="1" t="s">
        <v>19</v>
      </c>
      <c r="K542" s="42" t="s">
        <v>21</v>
      </c>
      <c r="L542" s="42"/>
      <c r="M542" s="42"/>
      <c r="N542" s="2"/>
      <c r="O542" s="2"/>
      <c r="R542" s="1" t="s">
        <v>19</v>
      </c>
      <c r="S542" s="42" t="s">
        <v>22</v>
      </c>
      <c r="T542" s="42"/>
      <c r="U542" s="42"/>
      <c r="V542" s="2"/>
      <c r="W542" s="2"/>
    </row>
    <row r="543" spans="2:23" x14ac:dyDescent="0.3">
      <c r="B543" s="3"/>
      <c r="C543" s="31" t="s">
        <v>6</v>
      </c>
      <c r="D543" s="30" t="s">
        <v>7</v>
      </c>
      <c r="E543" s="28"/>
      <c r="J543" s="3"/>
      <c r="K543" s="31" t="s">
        <v>6</v>
      </c>
      <c r="L543" s="30" t="s">
        <v>7</v>
      </c>
      <c r="M543" s="28"/>
      <c r="N543" s="2"/>
      <c r="O543" s="2"/>
      <c r="R543" s="3"/>
      <c r="S543" s="31" t="s">
        <v>6</v>
      </c>
      <c r="T543" s="30" t="s">
        <v>7</v>
      </c>
      <c r="U543" s="28"/>
      <c r="V543" s="2"/>
      <c r="W543" s="2"/>
    </row>
    <row r="544" spans="2:23" ht="16.2" thickBot="1" x14ac:dyDescent="0.35">
      <c r="B544" s="25" t="s">
        <v>13</v>
      </c>
      <c r="C544" s="33">
        <v>241</v>
      </c>
      <c r="D544" s="34">
        <v>241</v>
      </c>
      <c r="E544" s="29"/>
      <c r="J544" s="25" t="s">
        <v>13</v>
      </c>
      <c r="K544" s="33">
        <v>121</v>
      </c>
      <c r="L544" s="34">
        <v>121</v>
      </c>
      <c r="M544" s="29"/>
      <c r="N544" s="2"/>
      <c r="O544" s="2"/>
      <c r="R544" s="25" t="s">
        <v>13</v>
      </c>
      <c r="S544" s="33">
        <v>61</v>
      </c>
      <c r="T544" s="34">
        <v>61</v>
      </c>
      <c r="U544" s="29"/>
      <c r="V544" s="2"/>
      <c r="W544" s="2"/>
    </row>
    <row r="545" spans="1:23" x14ac:dyDescent="0.3">
      <c r="B545" s="26" t="s">
        <v>14</v>
      </c>
      <c r="C545" s="35">
        <v>200</v>
      </c>
      <c r="D545" s="32"/>
      <c r="E545" s="29"/>
      <c r="J545" s="26" t="s">
        <v>14</v>
      </c>
      <c r="K545" s="35">
        <v>200</v>
      </c>
      <c r="L545" s="32"/>
      <c r="M545" s="29"/>
      <c r="N545" s="2"/>
      <c r="O545" s="2"/>
      <c r="R545" s="26" t="s">
        <v>14</v>
      </c>
      <c r="S545" s="35">
        <v>200</v>
      </c>
      <c r="T545" s="32"/>
      <c r="U545" s="29"/>
      <c r="V545" s="2"/>
      <c r="W545" s="2"/>
    </row>
    <row r="546" spans="1:23" ht="16.2" thickBot="1" x14ac:dyDescent="0.35">
      <c r="B546" s="26" t="s">
        <v>15</v>
      </c>
      <c r="C546" s="21" t="s">
        <v>12</v>
      </c>
      <c r="D546" s="32"/>
      <c r="E546" s="29"/>
      <c r="J546" s="26" t="s">
        <v>15</v>
      </c>
      <c r="K546" s="21" t="s">
        <v>12</v>
      </c>
      <c r="L546" s="32"/>
      <c r="M546" s="29"/>
      <c r="N546" s="2"/>
      <c r="O546" s="2"/>
      <c r="R546" s="26" t="s">
        <v>15</v>
      </c>
      <c r="S546" s="21" t="s">
        <v>12</v>
      </c>
      <c r="T546" s="32"/>
      <c r="U546" s="29"/>
      <c r="V546" s="2"/>
      <c r="W546" s="2"/>
    </row>
    <row r="547" spans="1:23" x14ac:dyDescent="0.3">
      <c r="B547" s="26" t="s">
        <v>16</v>
      </c>
      <c r="C547" s="36">
        <v>1E-3</v>
      </c>
      <c r="D547" s="31" t="s">
        <v>6</v>
      </c>
      <c r="E547" s="30" t="s">
        <v>7</v>
      </c>
      <c r="J547" s="26" t="s">
        <v>16</v>
      </c>
      <c r="K547" s="36">
        <v>1E-3</v>
      </c>
      <c r="L547" s="31" t="s">
        <v>6</v>
      </c>
      <c r="M547" s="30" t="s">
        <v>7</v>
      </c>
      <c r="N547" s="2"/>
      <c r="O547" s="2"/>
      <c r="R547" s="26" t="s">
        <v>16</v>
      </c>
      <c r="S547" s="36">
        <v>1E-3</v>
      </c>
      <c r="T547" s="31" t="s">
        <v>6</v>
      </c>
      <c r="U547" s="30" t="s">
        <v>7</v>
      </c>
      <c r="V547" s="2"/>
      <c r="W547" s="2"/>
    </row>
    <row r="548" spans="1:23" ht="16.2" thickBot="1" x14ac:dyDescent="0.35">
      <c r="A548"/>
      <c r="B548" s="27" t="s">
        <v>18</v>
      </c>
      <c r="C548" s="37">
        <v>6</v>
      </c>
      <c r="D548" s="23">
        <f>VLOOKUP(C548,$J$4:$L$12,2,FALSE)</f>
        <v>0.75</v>
      </c>
      <c r="E548" s="24">
        <f>VLOOKUP(C548,$J$4:$L$12,3,FALSE)</f>
        <v>0.1</v>
      </c>
      <c r="J548" s="27" t="s">
        <v>18</v>
      </c>
      <c r="K548" s="37">
        <v>6</v>
      </c>
      <c r="L548" s="23">
        <f>VLOOKUP(K548,$J$4:$L$12,2,FALSE)</f>
        <v>0.75</v>
      </c>
      <c r="M548" s="24">
        <f>VLOOKUP(K548,$J$4:$L$12,3,FALSE)</f>
        <v>0.1</v>
      </c>
      <c r="N548" s="2"/>
      <c r="O548" s="2"/>
      <c r="R548" s="27" t="s">
        <v>18</v>
      </c>
      <c r="S548" s="37">
        <v>6</v>
      </c>
      <c r="T548" s="23">
        <f>VLOOKUP(S548,$J$4:$L$12,2,FALSE)</f>
        <v>0.75</v>
      </c>
      <c r="U548" s="24">
        <f>VLOOKUP(S548,$J$4:$L$12,3,FALSE)</f>
        <v>0.1</v>
      </c>
      <c r="V548" s="2"/>
      <c r="W548" s="2"/>
    </row>
    <row r="549" spans="1:23" x14ac:dyDescent="0.3">
      <c r="K549" s="2"/>
      <c r="L549" s="2"/>
      <c r="M549" s="2"/>
      <c r="N549" s="2"/>
      <c r="O549" s="2"/>
      <c r="S549" s="2"/>
      <c r="T549" s="2"/>
      <c r="U549" s="2"/>
      <c r="V549" s="2"/>
      <c r="W549" s="2"/>
    </row>
    <row r="550" spans="1:23" x14ac:dyDescent="0.3">
      <c r="B550" s="38" t="s">
        <v>0</v>
      </c>
      <c r="C550" s="39" t="s">
        <v>1</v>
      </c>
      <c r="D550" s="39" t="s">
        <v>2</v>
      </c>
      <c r="E550" s="39" t="s">
        <v>3</v>
      </c>
      <c r="F550" s="39" t="s">
        <v>4</v>
      </c>
      <c r="G550" s="39" t="s">
        <v>5</v>
      </c>
      <c r="J550" s="38" t="s">
        <v>0</v>
      </c>
      <c r="K550" s="39" t="s">
        <v>1</v>
      </c>
      <c r="L550" s="39" t="s">
        <v>2</v>
      </c>
      <c r="M550" s="39" t="s">
        <v>3</v>
      </c>
      <c r="N550" s="39" t="s">
        <v>4</v>
      </c>
      <c r="O550" s="39" t="s">
        <v>5</v>
      </c>
      <c r="R550" s="38" t="s">
        <v>0</v>
      </c>
      <c r="S550" s="39" t="s">
        <v>1</v>
      </c>
      <c r="T550" s="39" t="s">
        <v>2</v>
      </c>
      <c r="U550" s="39" t="s">
        <v>3</v>
      </c>
      <c r="V550" s="39" t="s">
        <v>4</v>
      </c>
      <c r="W550" s="39" t="s">
        <v>5</v>
      </c>
    </row>
    <row r="551" spans="1:23" x14ac:dyDescent="0.3">
      <c r="B551" s="21">
        <v>0</v>
      </c>
      <c r="C551" s="21">
        <v>0.75</v>
      </c>
      <c r="D551" s="21">
        <v>0.1</v>
      </c>
      <c r="E551" s="21">
        <v>300</v>
      </c>
      <c r="F551" s="21">
        <v>478.57299999999998</v>
      </c>
      <c r="G551" s="21">
        <v>62.213700000000003</v>
      </c>
      <c r="J551" s="21">
        <v>0</v>
      </c>
      <c r="K551" s="21">
        <v>0.75</v>
      </c>
      <c r="L551" s="21">
        <v>0.1</v>
      </c>
      <c r="M551" s="21">
        <v>300</v>
      </c>
      <c r="N551" s="21">
        <v>478.57299999999998</v>
      </c>
      <c r="O551" s="21">
        <v>62.213700000000003</v>
      </c>
      <c r="R551" s="21">
        <v>0</v>
      </c>
      <c r="S551" s="21">
        <v>0.75</v>
      </c>
      <c r="T551" s="21">
        <v>0.1</v>
      </c>
      <c r="U551" s="21">
        <v>300</v>
      </c>
      <c r="V551" s="21">
        <v>478.57299999999998</v>
      </c>
      <c r="W551" s="21">
        <v>62.213700000000003</v>
      </c>
    </row>
    <row r="552" spans="1:23" x14ac:dyDescent="0.3">
      <c r="B552" s="21">
        <v>200</v>
      </c>
      <c r="C552" s="21">
        <v>0.75</v>
      </c>
      <c r="D552" s="21">
        <v>0.1</v>
      </c>
      <c r="E552" s="21">
        <v>345.89139999999998</v>
      </c>
      <c r="F552" s="21">
        <v>457.16789999999997</v>
      </c>
      <c r="G552" s="21">
        <v>60.444299999999998</v>
      </c>
      <c r="J552" s="21">
        <v>200</v>
      </c>
      <c r="K552" s="21">
        <v>0.75</v>
      </c>
      <c r="L552" s="21">
        <v>0.1</v>
      </c>
      <c r="M552" s="21">
        <v>348.98169999999999</v>
      </c>
      <c r="N552" s="21">
        <v>456.82429999999999</v>
      </c>
      <c r="O552" s="21">
        <v>60.318399999999997</v>
      </c>
      <c r="R552" s="21">
        <v>200</v>
      </c>
      <c r="S552" s="21">
        <v>0.75</v>
      </c>
      <c r="T552" s="21">
        <v>0.1</v>
      </c>
      <c r="U552" s="21">
        <v>349.37889999999999</v>
      </c>
      <c r="V552" s="21">
        <v>456.78870000000001</v>
      </c>
      <c r="W552" s="21">
        <v>60.302199999999999</v>
      </c>
    </row>
    <row r="553" spans="1:23" x14ac:dyDescent="0.3">
      <c r="B553" s="21">
        <v>400</v>
      </c>
      <c r="C553" s="21">
        <v>0.75</v>
      </c>
      <c r="D553" s="21">
        <v>0.1</v>
      </c>
      <c r="E553" s="21">
        <v>406.4923</v>
      </c>
      <c r="F553" s="21">
        <v>468.43349999999998</v>
      </c>
      <c r="G553" s="21">
        <v>57.855800000000002</v>
      </c>
      <c r="J553" s="21">
        <v>400</v>
      </c>
      <c r="K553" s="21">
        <v>0.75</v>
      </c>
      <c r="L553" s="21">
        <v>0.1</v>
      </c>
      <c r="M553" s="21">
        <v>412.0693</v>
      </c>
      <c r="N553" s="21">
        <v>470.9717</v>
      </c>
      <c r="O553" s="21">
        <v>57.607100000000003</v>
      </c>
      <c r="R553" s="21">
        <v>400</v>
      </c>
      <c r="S553" s="21">
        <v>0.75</v>
      </c>
      <c r="T553" s="21">
        <v>0.1</v>
      </c>
      <c r="U553" s="21">
        <v>412.78050000000002</v>
      </c>
      <c r="V553" s="21">
        <v>471.30869999999999</v>
      </c>
      <c r="W553" s="21">
        <v>57.575299999999999</v>
      </c>
    </row>
    <row r="554" spans="1:23" x14ac:dyDescent="0.3">
      <c r="B554" s="21">
        <v>600</v>
      </c>
      <c r="C554" s="21">
        <v>0.75</v>
      </c>
      <c r="D554" s="21">
        <v>0.1</v>
      </c>
      <c r="E554" s="21">
        <v>465.52679999999998</v>
      </c>
      <c r="F554" s="21">
        <v>502.4282</v>
      </c>
      <c r="G554" s="21">
        <v>55.166899999999998</v>
      </c>
      <c r="J554" s="21">
        <v>600</v>
      </c>
      <c r="K554" s="21">
        <v>0.75</v>
      </c>
      <c r="L554" s="21">
        <v>0.1</v>
      </c>
      <c r="M554" s="21">
        <v>473.07130000000001</v>
      </c>
      <c r="N554" s="21">
        <v>507.5197</v>
      </c>
      <c r="O554" s="21">
        <v>54.816899999999997</v>
      </c>
      <c r="R554" s="21">
        <v>600</v>
      </c>
      <c r="S554" s="21">
        <v>0.75</v>
      </c>
      <c r="T554" s="21">
        <v>0.1</v>
      </c>
      <c r="U554" s="21">
        <v>474.02519999999998</v>
      </c>
      <c r="V554" s="21">
        <v>508.16919999999999</v>
      </c>
      <c r="W554" s="21">
        <v>54.772599999999997</v>
      </c>
    </row>
    <row r="555" spans="1:23" x14ac:dyDescent="0.3">
      <c r="B555" s="21">
        <v>800</v>
      </c>
      <c r="C555" s="21">
        <v>0.75</v>
      </c>
      <c r="D555" s="21">
        <v>0.1</v>
      </c>
      <c r="E555" s="21">
        <v>519.98940000000005</v>
      </c>
      <c r="F555" s="21">
        <v>539.92769999999996</v>
      </c>
      <c r="G555" s="21">
        <v>52.632399999999997</v>
      </c>
      <c r="J555" s="21">
        <v>800</v>
      </c>
      <c r="K555" s="21">
        <v>0.75</v>
      </c>
      <c r="L555" s="21">
        <v>0.1</v>
      </c>
      <c r="M555" s="21">
        <v>529.26800000000003</v>
      </c>
      <c r="N555" s="21">
        <v>546.2183</v>
      </c>
      <c r="O555" s="21">
        <v>52.201300000000003</v>
      </c>
      <c r="R555" s="21">
        <v>800</v>
      </c>
      <c r="S555" s="21">
        <v>0.75</v>
      </c>
      <c r="T555" s="21">
        <v>0.1</v>
      </c>
      <c r="U555" s="21">
        <v>530.42690000000005</v>
      </c>
      <c r="V555" s="21">
        <v>546.99649999999997</v>
      </c>
      <c r="W555" s="21">
        <v>52.147599999999997</v>
      </c>
    </row>
    <row r="556" spans="1:23" x14ac:dyDescent="0.3">
      <c r="B556" s="21">
        <v>1000</v>
      </c>
      <c r="C556" s="21">
        <v>0.75</v>
      </c>
      <c r="D556" s="21">
        <v>0.1</v>
      </c>
      <c r="E556" s="21">
        <v>570.26639999999998</v>
      </c>
      <c r="F556" s="21">
        <v>572.3252</v>
      </c>
      <c r="G556" s="21">
        <v>50.315399999999997</v>
      </c>
      <c r="J556" s="21">
        <v>1000</v>
      </c>
      <c r="K556" s="21">
        <v>0.75</v>
      </c>
      <c r="L556" s="21">
        <v>0.1</v>
      </c>
      <c r="M556" s="21">
        <v>581.18409999999994</v>
      </c>
      <c r="N556" s="21">
        <v>578.67489999999998</v>
      </c>
      <c r="O556" s="21">
        <v>49.820900000000002</v>
      </c>
      <c r="R556" s="21">
        <v>1000</v>
      </c>
      <c r="S556" s="21">
        <v>0.75</v>
      </c>
      <c r="T556" s="21">
        <v>0.1</v>
      </c>
      <c r="U556" s="21">
        <v>582.5385</v>
      </c>
      <c r="V556" s="21">
        <v>579.4425</v>
      </c>
      <c r="W556" s="21">
        <v>49.759799999999998</v>
      </c>
    </row>
    <row r="557" spans="1:23" x14ac:dyDescent="0.3">
      <c r="B557" s="21">
        <v>1140</v>
      </c>
      <c r="C557" s="21">
        <v>0.75</v>
      </c>
      <c r="D557" s="21">
        <v>0.1</v>
      </c>
      <c r="E557" s="21">
        <v>603.71220000000005</v>
      </c>
      <c r="F557" s="21">
        <v>590.84500000000003</v>
      </c>
      <c r="G557" s="21">
        <v>48.814500000000002</v>
      </c>
      <c r="J557" s="21">
        <v>1140</v>
      </c>
      <c r="K557" s="21">
        <v>0.75</v>
      </c>
      <c r="L557" s="21">
        <v>0.1</v>
      </c>
      <c r="M557" s="21">
        <v>615.75139999999999</v>
      </c>
      <c r="N557" s="21">
        <v>596.82129999999995</v>
      </c>
      <c r="O557" s="21">
        <v>48.285699999999999</v>
      </c>
      <c r="R557" s="21">
        <v>1140</v>
      </c>
      <c r="S557" s="21">
        <v>0.75</v>
      </c>
      <c r="T557" s="21">
        <v>0.1</v>
      </c>
      <c r="U557" s="21">
        <v>617.24009999999998</v>
      </c>
      <c r="V557" s="21">
        <v>597.53499999999997</v>
      </c>
      <c r="W557" s="21">
        <v>48.220799999999997</v>
      </c>
    </row>
    <row r="558" spans="1:23" x14ac:dyDescent="0.3">
      <c r="B558" s="21">
        <v>1340</v>
      </c>
      <c r="C558" s="21">
        <v>0.75</v>
      </c>
      <c r="D558" s="21">
        <v>0.1</v>
      </c>
      <c r="E558" s="21">
        <v>661.00120000000004</v>
      </c>
      <c r="F558" s="21">
        <v>616.2296</v>
      </c>
      <c r="G558" s="21">
        <v>46.368000000000002</v>
      </c>
      <c r="J558" s="21">
        <v>1340</v>
      </c>
      <c r="K558" s="21">
        <v>0.75</v>
      </c>
      <c r="L558" s="21">
        <v>0.1</v>
      </c>
      <c r="M558" s="21">
        <v>674.3202</v>
      </c>
      <c r="N558" s="21">
        <v>621.18489999999997</v>
      </c>
      <c r="O558" s="21">
        <v>45.827800000000003</v>
      </c>
      <c r="R558" s="21">
        <v>1340</v>
      </c>
      <c r="S558" s="21">
        <v>0.75</v>
      </c>
      <c r="T558" s="21">
        <v>0.1</v>
      </c>
      <c r="U558" s="21">
        <v>675.95360000000005</v>
      </c>
      <c r="V558" s="21">
        <v>621.77530000000002</v>
      </c>
      <c r="W558" s="21">
        <v>45.7624</v>
      </c>
    </row>
    <row r="559" spans="1:23" x14ac:dyDescent="0.3">
      <c r="B559" s="21">
        <v>1540</v>
      </c>
      <c r="C559" s="21">
        <v>0.75</v>
      </c>
      <c r="D559" s="21">
        <v>0.1</v>
      </c>
      <c r="E559" s="21">
        <v>721.45979999999997</v>
      </c>
      <c r="F559" s="21">
        <v>637.53300000000002</v>
      </c>
      <c r="G559" s="21">
        <v>44.022399999999998</v>
      </c>
      <c r="J559" s="21">
        <v>1540</v>
      </c>
      <c r="K559" s="21">
        <v>0.75</v>
      </c>
      <c r="L559" s="21">
        <v>0.1</v>
      </c>
      <c r="M559" s="21">
        <v>735.68089999999995</v>
      </c>
      <c r="N559" s="21">
        <v>642.59429999999998</v>
      </c>
      <c r="O559" s="21">
        <v>43.513800000000003</v>
      </c>
      <c r="R559" s="21">
        <v>1540</v>
      </c>
      <c r="S559" s="21">
        <v>0.75</v>
      </c>
      <c r="T559" s="21">
        <v>0.1</v>
      </c>
      <c r="U559" s="21">
        <v>737.41830000000004</v>
      </c>
      <c r="V559" s="21">
        <v>643.23260000000005</v>
      </c>
      <c r="W559" s="21">
        <v>43.4529</v>
      </c>
    </row>
    <row r="560" spans="1:23" x14ac:dyDescent="0.3">
      <c r="B560" s="21">
        <v>1740</v>
      </c>
      <c r="C560" s="21">
        <v>0.75</v>
      </c>
      <c r="D560" s="21">
        <v>0.1</v>
      </c>
      <c r="E560" s="21">
        <v>779.29830000000004</v>
      </c>
      <c r="F560" s="21">
        <v>661.11</v>
      </c>
      <c r="G560" s="21">
        <v>42.071599999999997</v>
      </c>
      <c r="J560" s="21">
        <v>1740</v>
      </c>
      <c r="K560" s="21">
        <v>0.75</v>
      </c>
      <c r="L560" s="21">
        <v>0.1</v>
      </c>
      <c r="M560" s="21">
        <v>793.91750000000002</v>
      </c>
      <c r="N560" s="21">
        <v>669.07979999999998</v>
      </c>
      <c r="O560" s="21">
        <v>41.630800000000001</v>
      </c>
      <c r="R560" s="21">
        <v>1740</v>
      </c>
      <c r="S560" s="21">
        <v>0.75</v>
      </c>
      <c r="T560" s="21">
        <v>0.1</v>
      </c>
      <c r="U560" s="21">
        <v>795.68050000000005</v>
      </c>
      <c r="V560" s="21">
        <v>670.12440000000004</v>
      </c>
      <c r="W560" s="21">
        <v>41.5792</v>
      </c>
    </row>
    <row r="561" spans="2:23" x14ac:dyDescent="0.3">
      <c r="B561" s="21">
        <v>1940</v>
      </c>
      <c r="C561" s="21">
        <v>0.75</v>
      </c>
      <c r="D561" s="21">
        <v>0.1</v>
      </c>
      <c r="E561" s="21">
        <v>831.60599999999999</v>
      </c>
      <c r="F561" s="21">
        <v>696.42859999999996</v>
      </c>
      <c r="G561" s="21">
        <v>40.601300000000002</v>
      </c>
      <c r="J561" s="21">
        <v>1940</v>
      </c>
      <c r="K561" s="21">
        <v>0.75</v>
      </c>
      <c r="L561" s="21">
        <v>0.1</v>
      </c>
      <c r="M561" s="21">
        <v>846.12609999999995</v>
      </c>
      <c r="N561" s="21">
        <v>710.41849999999999</v>
      </c>
      <c r="O561" s="21">
        <v>40.247799999999998</v>
      </c>
      <c r="R561" s="21">
        <v>1940</v>
      </c>
      <c r="S561" s="21">
        <v>0.75</v>
      </c>
      <c r="T561" s="21">
        <v>0.1</v>
      </c>
      <c r="U561" s="21">
        <v>847.87170000000003</v>
      </c>
      <c r="V561" s="21">
        <v>712.25699999999995</v>
      </c>
      <c r="W561" s="21">
        <v>40.207000000000001</v>
      </c>
    </row>
    <row r="562" spans="2:23" x14ac:dyDescent="0.3">
      <c r="B562" s="21">
        <v>2140</v>
      </c>
      <c r="C562" s="21">
        <v>0.75</v>
      </c>
      <c r="D562" s="21">
        <v>0.1</v>
      </c>
      <c r="E562" s="21">
        <v>877.62739999999997</v>
      </c>
      <c r="F562" s="21">
        <v>749.61279999999999</v>
      </c>
      <c r="G562" s="21">
        <v>39.567799999999998</v>
      </c>
      <c r="J562" s="21">
        <v>2140</v>
      </c>
      <c r="K562" s="21">
        <v>0.75</v>
      </c>
      <c r="L562" s="21">
        <v>0.1</v>
      </c>
      <c r="M562" s="21">
        <v>891.67750000000001</v>
      </c>
      <c r="N562" s="21">
        <v>771.78070000000002</v>
      </c>
      <c r="O562" s="21">
        <v>39.304200000000002</v>
      </c>
      <c r="R562" s="21">
        <v>2140</v>
      </c>
      <c r="S562" s="21">
        <v>0.75</v>
      </c>
      <c r="T562" s="21">
        <v>0.1</v>
      </c>
      <c r="U562" s="21">
        <v>893.34889999999996</v>
      </c>
      <c r="V562" s="21">
        <v>774.63710000000003</v>
      </c>
      <c r="W562" s="21">
        <v>39.2746</v>
      </c>
    </row>
    <row r="563" spans="2:23" x14ac:dyDescent="0.3">
      <c r="B563" s="21">
        <v>2340</v>
      </c>
      <c r="C563" s="21">
        <v>0.75</v>
      </c>
      <c r="D563" s="21">
        <v>0.1</v>
      </c>
      <c r="E563" s="21">
        <v>917.83040000000005</v>
      </c>
      <c r="F563" s="21">
        <v>822.40610000000004</v>
      </c>
      <c r="G563" s="21">
        <v>38.881300000000003</v>
      </c>
      <c r="J563" s="21">
        <v>2340</v>
      </c>
      <c r="K563" s="21">
        <v>0.75</v>
      </c>
      <c r="L563" s="21">
        <v>0.1</v>
      </c>
      <c r="M563" s="21">
        <v>931.28639999999996</v>
      </c>
      <c r="N563" s="21">
        <v>853.8768</v>
      </c>
      <c r="O563" s="21">
        <v>38.698700000000002</v>
      </c>
      <c r="R563" s="21">
        <v>2340</v>
      </c>
      <c r="S563" s="21">
        <v>0.75</v>
      </c>
      <c r="T563" s="21">
        <v>0.1</v>
      </c>
      <c r="U563" s="21">
        <v>932.8442</v>
      </c>
      <c r="V563" s="21">
        <v>857.78200000000004</v>
      </c>
      <c r="W563" s="21">
        <v>38.679200000000002</v>
      </c>
    </row>
    <row r="564" spans="2:23" x14ac:dyDescent="0.3">
      <c r="B564" s="21">
        <v>2540</v>
      </c>
      <c r="C564" s="21">
        <v>0.75</v>
      </c>
      <c r="D564" s="21">
        <v>0.1</v>
      </c>
      <c r="E564" s="21">
        <v>953.28359999999998</v>
      </c>
      <c r="F564" s="21">
        <v>914.46969999999999</v>
      </c>
      <c r="G564" s="21">
        <v>38.453000000000003</v>
      </c>
      <c r="J564" s="21">
        <v>2540</v>
      </c>
      <c r="K564" s="21">
        <v>0.75</v>
      </c>
      <c r="L564" s="21">
        <v>0.1</v>
      </c>
      <c r="M564" s="21">
        <v>966.22590000000002</v>
      </c>
      <c r="N564" s="21">
        <v>956.00609999999995</v>
      </c>
      <c r="O564" s="21">
        <v>38.339500000000001</v>
      </c>
      <c r="R564" s="21">
        <v>2540</v>
      </c>
      <c r="S564" s="21">
        <v>0.75</v>
      </c>
      <c r="T564" s="21">
        <v>0.1</v>
      </c>
      <c r="U564" s="21">
        <v>967.69290000000001</v>
      </c>
      <c r="V564" s="21">
        <v>961.01059999999995</v>
      </c>
      <c r="W564" s="21">
        <v>38.328099999999999</v>
      </c>
    </row>
    <row r="565" spans="2:23" x14ac:dyDescent="0.3">
      <c r="B565" s="21">
        <v>2740</v>
      </c>
      <c r="C565" s="21">
        <v>0.75</v>
      </c>
      <c r="D565" s="21">
        <v>0.1</v>
      </c>
      <c r="E565" s="21">
        <v>985.23900000000003</v>
      </c>
      <c r="F565" s="21">
        <v>1025.8514</v>
      </c>
      <c r="G565" s="21">
        <v>38.215200000000003</v>
      </c>
      <c r="J565" s="21">
        <v>2740</v>
      </c>
      <c r="K565" s="21">
        <v>0.75</v>
      </c>
      <c r="L565" s="21">
        <v>0.1</v>
      </c>
      <c r="M565" s="21">
        <v>998.11500000000001</v>
      </c>
      <c r="N565" s="21">
        <v>1079.6543999999999</v>
      </c>
      <c r="O565" s="21">
        <v>38.1601</v>
      </c>
      <c r="R565" s="21">
        <v>2740</v>
      </c>
      <c r="S565" s="21">
        <v>0.75</v>
      </c>
      <c r="T565" s="21">
        <v>0.1</v>
      </c>
      <c r="U565" s="21">
        <v>999.57510000000002</v>
      </c>
      <c r="V565" s="21">
        <v>1086.1079</v>
      </c>
      <c r="W565" s="21">
        <v>38.155299999999997</v>
      </c>
    </row>
    <row r="566" spans="2:23" x14ac:dyDescent="0.3">
      <c r="B566" s="21">
        <v>2940</v>
      </c>
      <c r="C566" s="21">
        <v>0.75</v>
      </c>
      <c r="D566" s="21">
        <v>0.1</v>
      </c>
      <c r="E566" s="21">
        <v>1015.4184</v>
      </c>
      <c r="F566" s="21">
        <v>1161.0109</v>
      </c>
      <c r="G566" s="21">
        <v>38.1235</v>
      </c>
      <c r="J566" s="21">
        <v>2940</v>
      </c>
      <c r="K566" s="21">
        <v>0.75</v>
      </c>
      <c r="L566" s="21">
        <v>0.1</v>
      </c>
      <c r="M566" s="21">
        <v>1030.2148999999999</v>
      </c>
      <c r="N566" s="21">
        <v>1239.4918</v>
      </c>
      <c r="O566" s="21">
        <v>38.126600000000003</v>
      </c>
      <c r="R566" s="21">
        <v>2940</v>
      </c>
      <c r="S566" s="21">
        <v>0.75</v>
      </c>
      <c r="T566" s="21">
        <v>0.1</v>
      </c>
      <c r="U566" s="21">
        <v>1032.0555999999999</v>
      </c>
      <c r="V566" s="21">
        <v>1249.8637000000001</v>
      </c>
      <c r="W566" s="21">
        <v>38.129199999999997</v>
      </c>
    </row>
    <row r="567" spans="2:23" x14ac:dyDescent="0.3">
      <c r="B567" s="21">
        <v>3060</v>
      </c>
      <c r="C567" s="21">
        <v>0.75</v>
      </c>
      <c r="D567" s="21">
        <v>0.1</v>
      </c>
      <c r="E567" s="21">
        <v>1034.5408</v>
      </c>
      <c r="F567" s="21">
        <v>1125.2150999999999</v>
      </c>
      <c r="G567" s="21">
        <v>38.133499999999998</v>
      </c>
      <c r="J567" s="21">
        <v>3060</v>
      </c>
      <c r="K567" s="21">
        <v>0.75</v>
      </c>
      <c r="L567" s="21">
        <v>0.1</v>
      </c>
      <c r="M567" s="21">
        <v>1051.7387000000001</v>
      </c>
      <c r="N567" s="21">
        <v>1060.9867999999999</v>
      </c>
      <c r="O567" s="21">
        <v>38.188400000000001</v>
      </c>
      <c r="R567" s="21">
        <v>3060</v>
      </c>
      <c r="S567" s="21">
        <v>0.75</v>
      </c>
      <c r="T567" s="21">
        <v>0.1</v>
      </c>
      <c r="U567" s="21">
        <v>1053.7419</v>
      </c>
      <c r="V567" s="21">
        <v>1053.7925</v>
      </c>
      <c r="W567" s="21">
        <v>38.197600000000001</v>
      </c>
    </row>
    <row r="568" spans="2:23" x14ac:dyDescent="0.3">
      <c r="B568" s="21">
        <v>3260</v>
      </c>
      <c r="C568" s="21">
        <v>0.75</v>
      </c>
      <c r="D568" s="21">
        <v>0.1</v>
      </c>
      <c r="E568" s="21">
        <v>1074.8253</v>
      </c>
      <c r="F568" s="21">
        <v>981.81650000000002</v>
      </c>
      <c r="G568" s="21">
        <v>38.330800000000004</v>
      </c>
      <c r="J568" s="21">
        <v>3260</v>
      </c>
      <c r="K568" s="21">
        <v>0.75</v>
      </c>
      <c r="L568" s="21">
        <v>0.1</v>
      </c>
      <c r="M568" s="21">
        <v>1095.2233000000001</v>
      </c>
      <c r="N568" s="21">
        <v>918.90070000000003</v>
      </c>
      <c r="O568" s="21">
        <v>38.522799999999997</v>
      </c>
      <c r="R568" s="21">
        <v>3260</v>
      </c>
      <c r="S568" s="21">
        <v>0.75</v>
      </c>
      <c r="T568" s="21">
        <v>0.1</v>
      </c>
      <c r="U568" s="21">
        <v>1097.5941</v>
      </c>
      <c r="V568" s="21">
        <v>912.03089999999997</v>
      </c>
      <c r="W568" s="21">
        <v>38.549100000000003</v>
      </c>
    </row>
    <row r="569" spans="2:23" x14ac:dyDescent="0.3">
      <c r="B569" s="21">
        <v>3460</v>
      </c>
      <c r="C569" s="21">
        <v>0.75</v>
      </c>
      <c r="D569" s="21">
        <v>0.1</v>
      </c>
      <c r="E569" s="21">
        <v>1121.7426</v>
      </c>
      <c r="F569" s="21">
        <v>847.48289999999997</v>
      </c>
      <c r="G569" s="21">
        <v>38.865699999999997</v>
      </c>
      <c r="J569" s="21">
        <v>3460</v>
      </c>
      <c r="K569" s="21">
        <v>0.75</v>
      </c>
      <c r="L569" s="21">
        <v>0.1</v>
      </c>
      <c r="M569" s="21">
        <v>1144.7378000000001</v>
      </c>
      <c r="N569" s="21">
        <v>795.52779999999996</v>
      </c>
      <c r="O569" s="21">
        <v>39.248899999999999</v>
      </c>
      <c r="R569" s="21">
        <v>3460</v>
      </c>
      <c r="S569" s="21">
        <v>0.75</v>
      </c>
      <c r="T569" s="21">
        <v>0.1</v>
      </c>
      <c r="U569" s="21">
        <v>1147.3915999999999</v>
      </c>
      <c r="V569" s="21">
        <v>790.14940000000001</v>
      </c>
      <c r="W569" s="21">
        <v>39.298299999999998</v>
      </c>
    </row>
    <row r="570" spans="2:23" x14ac:dyDescent="0.3">
      <c r="B570" s="21">
        <v>3660</v>
      </c>
      <c r="C570" s="21">
        <v>0.75</v>
      </c>
      <c r="D570" s="21">
        <v>0.1</v>
      </c>
      <c r="E570" s="21">
        <v>1170.5065999999999</v>
      </c>
      <c r="F570" s="21">
        <v>748.88490000000002</v>
      </c>
      <c r="G570" s="21">
        <v>39.773099999999999</v>
      </c>
      <c r="J570" s="21">
        <v>3660</v>
      </c>
      <c r="K570" s="21">
        <v>0.75</v>
      </c>
      <c r="L570" s="21">
        <v>0.1</v>
      </c>
      <c r="M570" s="21">
        <v>1194.4465</v>
      </c>
      <c r="N570" s="21">
        <v>717.05110000000002</v>
      </c>
      <c r="O570" s="21">
        <v>40.349800000000002</v>
      </c>
      <c r="R570" s="21">
        <v>3660</v>
      </c>
      <c r="S570" s="21">
        <v>0.75</v>
      </c>
      <c r="T570" s="21">
        <v>0.1</v>
      </c>
      <c r="U570" s="21">
        <v>1197.1632999999999</v>
      </c>
      <c r="V570" s="21">
        <v>714.16200000000003</v>
      </c>
      <c r="W570" s="21">
        <v>40.4206</v>
      </c>
    </row>
    <row r="571" spans="2:23" x14ac:dyDescent="0.3">
      <c r="B571" s="21">
        <v>3860</v>
      </c>
      <c r="C571" s="21">
        <v>0.75</v>
      </c>
      <c r="D571" s="21">
        <v>0.1</v>
      </c>
      <c r="E571" s="21">
        <v>1216.0563</v>
      </c>
      <c r="F571" s="21">
        <v>703</v>
      </c>
      <c r="G571" s="21">
        <v>40.944099999999999</v>
      </c>
      <c r="J571" s="21">
        <v>3860</v>
      </c>
      <c r="K571" s="21">
        <v>0.75</v>
      </c>
      <c r="L571" s="21">
        <v>0.1</v>
      </c>
      <c r="M571" s="21">
        <v>1239.2646</v>
      </c>
      <c r="N571" s="21">
        <v>703</v>
      </c>
      <c r="O571" s="21">
        <v>41.659700000000001</v>
      </c>
      <c r="R571" s="21">
        <v>3860</v>
      </c>
      <c r="S571" s="21">
        <v>0.75</v>
      </c>
      <c r="T571" s="21">
        <v>0.1</v>
      </c>
      <c r="U571" s="21">
        <v>1241.9186999999999</v>
      </c>
      <c r="V571" s="21">
        <v>703</v>
      </c>
      <c r="W571" s="21">
        <v>41.746699999999997</v>
      </c>
    </row>
    <row r="572" spans="2:23" x14ac:dyDescent="0.3">
      <c r="B572" s="21">
        <v>4060</v>
      </c>
      <c r="C572" s="21">
        <v>0.75</v>
      </c>
      <c r="D572" s="21">
        <v>0.1</v>
      </c>
      <c r="E572" s="21">
        <v>1256.1231</v>
      </c>
      <c r="F572" s="21">
        <v>703</v>
      </c>
      <c r="G572" s="21">
        <v>42.229500000000002</v>
      </c>
      <c r="J572" s="21">
        <v>4060</v>
      </c>
      <c r="K572" s="21">
        <v>0.75</v>
      </c>
      <c r="L572" s="21">
        <v>0.1</v>
      </c>
      <c r="M572" s="21">
        <v>1278.7286999999999</v>
      </c>
      <c r="N572" s="21">
        <v>703</v>
      </c>
      <c r="O572" s="21">
        <v>43.058599999999998</v>
      </c>
      <c r="R572" s="21">
        <v>4060</v>
      </c>
      <c r="S572" s="21">
        <v>0.75</v>
      </c>
      <c r="T572" s="21">
        <v>0.1</v>
      </c>
      <c r="U572" s="21">
        <v>1281.3403000000001</v>
      </c>
      <c r="V572" s="21">
        <v>703</v>
      </c>
      <c r="W572" s="21">
        <v>43.159100000000002</v>
      </c>
    </row>
    <row r="573" spans="2:23" x14ac:dyDescent="0.3">
      <c r="B573" s="21">
        <v>4260</v>
      </c>
      <c r="C573" s="21">
        <v>0.75</v>
      </c>
      <c r="D573" s="21">
        <v>0.1</v>
      </c>
      <c r="E573" s="21">
        <v>1291.1456000000001</v>
      </c>
      <c r="F573" s="21">
        <v>703</v>
      </c>
      <c r="G573" s="21">
        <v>43.545400000000001</v>
      </c>
      <c r="J573" s="21">
        <v>4260</v>
      </c>
      <c r="K573" s="21">
        <v>0.75</v>
      </c>
      <c r="L573" s="21">
        <v>0.1</v>
      </c>
      <c r="M573" s="21">
        <v>1313.1703</v>
      </c>
      <c r="N573" s="21">
        <v>703</v>
      </c>
      <c r="O573" s="21">
        <v>44.462899999999998</v>
      </c>
      <c r="R573" s="21">
        <v>4260</v>
      </c>
      <c r="S573" s="21">
        <v>0.75</v>
      </c>
      <c r="T573" s="21">
        <v>0.1</v>
      </c>
      <c r="U573" s="21">
        <v>1315.7384</v>
      </c>
      <c r="V573" s="21">
        <v>703</v>
      </c>
      <c r="W573" s="21">
        <v>44.574399999999997</v>
      </c>
    </row>
    <row r="574" spans="2:23" x14ac:dyDescent="0.3">
      <c r="B574" s="21">
        <v>4460</v>
      </c>
      <c r="C574" s="21">
        <v>0.75</v>
      </c>
      <c r="D574" s="21">
        <v>0.1</v>
      </c>
      <c r="E574" s="21">
        <v>1321.5772999999999</v>
      </c>
      <c r="F574" s="21">
        <v>703</v>
      </c>
      <c r="G574" s="21">
        <v>44.831200000000003</v>
      </c>
      <c r="J574" s="21">
        <v>4460</v>
      </c>
      <c r="K574" s="21">
        <v>0.75</v>
      </c>
      <c r="L574" s="21">
        <v>0.1</v>
      </c>
      <c r="M574" s="21">
        <v>1343.011</v>
      </c>
      <c r="N574" s="21">
        <v>703</v>
      </c>
      <c r="O574" s="21">
        <v>45.814399999999999</v>
      </c>
      <c r="R574" s="21">
        <v>4460</v>
      </c>
      <c r="S574" s="21">
        <v>0.75</v>
      </c>
      <c r="T574" s="21">
        <v>0.1</v>
      </c>
      <c r="U574" s="21">
        <v>1345.5136</v>
      </c>
      <c r="V574" s="21">
        <v>703</v>
      </c>
      <c r="W574" s="21">
        <v>45.933300000000003</v>
      </c>
    </row>
    <row r="575" spans="2:23" x14ac:dyDescent="0.3">
      <c r="B575" s="21">
        <v>4660</v>
      </c>
      <c r="C575" s="21">
        <v>0.75</v>
      </c>
      <c r="D575" s="21">
        <v>0.1</v>
      </c>
      <c r="E575" s="21">
        <v>1347.8867</v>
      </c>
      <c r="F575" s="21">
        <v>703</v>
      </c>
      <c r="G575" s="21">
        <v>46.046900000000001</v>
      </c>
      <c r="J575" s="21">
        <v>4660</v>
      </c>
      <c r="K575" s="21">
        <v>0.75</v>
      </c>
      <c r="L575" s="21">
        <v>0.1</v>
      </c>
      <c r="M575" s="21">
        <v>1368.6756</v>
      </c>
      <c r="N575" s="21">
        <v>703</v>
      </c>
      <c r="O575" s="21">
        <v>47.073900000000002</v>
      </c>
      <c r="R575" s="21">
        <v>4660</v>
      </c>
      <c r="S575" s="21">
        <v>0.75</v>
      </c>
      <c r="T575" s="21">
        <v>0.1</v>
      </c>
      <c r="U575" s="21">
        <v>1371.1217999999999</v>
      </c>
      <c r="V575" s="21">
        <v>703</v>
      </c>
      <c r="W575" s="21">
        <v>47.198599999999999</v>
      </c>
    </row>
    <row r="576" spans="2:23" x14ac:dyDescent="0.3">
      <c r="B576" s="21">
        <v>4860</v>
      </c>
      <c r="C576" s="21">
        <v>0.75</v>
      </c>
      <c r="D576" s="21">
        <v>0.1</v>
      </c>
      <c r="E576" s="21">
        <v>1370.4807000000001</v>
      </c>
      <c r="F576" s="21">
        <v>703</v>
      </c>
      <c r="G576" s="21">
        <v>47.165799999999997</v>
      </c>
      <c r="J576" s="21">
        <v>4860</v>
      </c>
      <c r="K576" s="21">
        <v>0.75</v>
      </c>
      <c r="L576" s="21">
        <v>0.1</v>
      </c>
      <c r="M576" s="21">
        <v>1390.6534999999999</v>
      </c>
      <c r="N576" s="21">
        <v>703</v>
      </c>
      <c r="O576" s="21">
        <v>48.221899999999998</v>
      </c>
      <c r="R576" s="21">
        <v>4860</v>
      </c>
      <c r="S576" s="21">
        <v>0.75</v>
      </c>
      <c r="T576" s="21">
        <v>0.1</v>
      </c>
      <c r="U576" s="21">
        <v>1393.0278000000001</v>
      </c>
      <c r="V576" s="21">
        <v>703</v>
      </c>
      <c r="W576" s="21">
        <v>48.349600000000002</v>
      </c>
    </row>
    <row r="577" spans="2:23" x14ac:dyDescent="0.3">
      <c r="B577" s="21">
        <v>4980</v>
      </c>
      <c r="C577" s="21">
        <v>0.75</v>
      </c>
      <c r="D577" s="21">
        <v>0.1</v>
      </c>
      <c r="E577" s="21">
        <v>1382.8254999999999</v>
      </c>
      <c r="F577" s="21">
        <v>703</v>
      </c>
      <c r="G577" s="21">
        <v>47.805799999999998</v>
      </c>
      <c r="J577" s="21">
        <v>4980</v>
      </c>
      <c r="K577" s="21">
        <v>0.75</v>
      </c>
      <c r="L577" s="21">
        <v>0.1</v>
      </c>
      <c r="M577" s="21">
        <v>1402.6113</v>
      </c>
      <c r="N577" s="21">
        <v>703</v>
      </c>
      <c r="O577" s="21">
        <v>48.872599999999998</v>
      </c>
      <c r="R577" s="21">
        <v>4980</v>
      </c>
      <c r="S577" s="21">
        <v>0.75</v>
      </c>
      <c r="T577" s="21">
        <v>0.1</v>
      </c>
      <c r="U577" s="21">
        <v>1404.9381000000001</v>
      </c>
      <c r="V577" s="21">
        <v>703</v>
      </c>
      <c r="W577" s="21">
        <v>49.001300000000001</v>
      </c>
    </row>
    <row r="578" spans="2:23" x14ac:dyDescent="0.3">
      <c r="B578" s="21">
        <v>5180</v>
      </c>
      <c r="C578" s="21">
        <v>0.75</v>
      </c>
      <c r="D578" s="21">
        <v>0.1</v>
      </c>
      <c r="E578" s="21">
        <v>1400.3807999999999</v>
      </c>
      <c r="F578" s="21">
        <v>703</v>
      </c>
      <c r="G578" s="21">
        <v>48.7498</v>
      </c>
      <c r="J578" s="21">
        <v>5180</v>
      </c>
      <c r="K578" s="21">
        <v>0.75</v>
      </c>
      <c r="L578" s="21">
        <v>0.1</v>
      </c>
      <c r="M578" s="21">
        <v>1419.5953999999999</v>
      </c>
      <c r="N578" s="21">
        <v>703</v>
      </c>
      <c r="O578" s="21">
        <v>49.827800000000003</v>
      </c>
      <c r="R578" s="21">
        <v>5180</v>
      </c>
      <c r="S578" s="21">
        <v>0.75</v>
      </c>
      <c r="T578" s="21">
        <v>0.1</v>
      </c>
      <c r="U578" s="21">
        <v>1421.8633</v>
      </c>
      <c r="V578" s="21">
        <v>703</v>
      </c>
      <c r="W578" s="21">
        <v>49.958100000000002</v>
      </c>
    </row>
    <row r="579" spans="2:23" x14ac:dyDescent="0.3">
      <c r="B579" s="21">
        <v>5380</v>
      </c>
      <c r="C579" s="21">
        <v>0.75</v>
      </c>
      <c r="D579" s="21">
        <v>0.1</v>
      </c>
      <c r="E579" s="21">
        <v>1415.3891000000001</v>
      </c>
      <c r="F579" s="21">
        <v>703</v>
      </c>
      <c r="G579" s="21">
        <v>49.587899999999998</v>
      </c>
      <c r="J579" s="21">
        <v>5380</v>
      </c>
      <c r="K579" s="21">
        <v>0.75</v>
      </c>
      <c r="L579" s="21">
        <v>0.1</v>
      </c>
      <c r="M579" s="21">
        <v>1434.0227</v>
      </c>
      <c r="N579" s="21">
        <v>703</v>
      </c>
      <c r="O579" s="21">
        <v>50.667200000000001</v>
      </c>
      <c r="R579" s="21">
        <v>5380</v>
      </c>
      <c r="S579" s="21">
        <v>0.75</v>
      </c>
      <c r="T579" s="21">
        <v>0.1</v>
      </c>
      <c r="U579" s="21">
        <v>1436.2309</v>
      </c>
      <c r="V579" s="21">
        <v>703</v>
      </c>
      <c r="W579" s="21">
        <v>50.797899999999998</v>
      </c>
    </row>
    <row r="580" spans="2:23" x14ac:dyDescent="0.3">
      <c r="B580" s="21">
        <v>5580</v>
      </c>
      <c r="C580" s="21">
        <v>0.75</v>
      </c>
      <c r="D580" s="21">
        <v>0.1</v>
      </c>
      <c r="E580" s="21">
        <v>1428.1201000000001</v>
      </c>
      <c r="F580" s="21">
        <v>703</v>
      </c>
      <c r="G580" s="21">
        <v>50.320700000000002</v>
      </c>
      <c r="J580" s="21">
        <v>5580</v>
      </c>
      <c r="K580" s="21">
        <v>0.75</v>
      </c>
      <c r="L580" s="21">
        <v>0.1</v>
      </c>
      <c r="M580" s="21">
        <v>1446.2170000000001</v>
      </c>
      <c r="N580" s="21">
        <v>703</v>
      </c>
      <c r="O580" s="21">
        <v>51.396099999999997</v>
      </c>
      <c r="R580" s="21">
        <v>5580</v>
      </c>
      <c r="S580" s="21">
        <v>0.75</v>
      </c>
      <c r="T580" s="21">
        <v>0.1</v>
      </c>
      <c r="U580" s="21">
        <v>1448.3711000000001</v>
      </c>
      <c r="V580" s="21">
        <v>703</v>
      </c>
      <c r="W580" s="21">
        <v>51.526699999999998</v>
      </c>
    </row>
    <row r="581" spans="2:23" x14ac:dyDescent="0.3">
      <c r="B581" s="21">
        <v>5780</v>
      </c>
      <c r="C581" s="21">
        <v>0.75</v>
      </c>
      <c r="D581" s="21">
        <v>0.1</v>
      </c>
      <c r="E581" s="21">
        <v>1438.8964000000001</v>
      </c>
      <c r="F581" s="21">
        <v>703</v>
      </c>
      <c r="G581" s="21">
        <v>50.956400000000002</v>
      </c>
      <c r="J581" s="21">
        <v>5780</v>
      </c>
      <c r="K581" s="21">
        <v>0.75</v>
      </c>
      <c r="L581" s="21">
        <v>0.1</v>
      </c>
      <c r="M581" s="21">
        <v>1456.5148999999999</v>
      </c>
      <c r="N581" s="21">
        <v>703</v>
      </c>
      <c r="O581" s="21">
        <v>52.025199999999998</v>
      </c>
      <c r="R581" s="21">
        <v>5780</v>
      </c>
      <c r="S581" s="21">
        <v>0.75</v>
      </c>
      <c r="T581" s="21">
        <v>0.1</v>
      </c>
      <c r="U581" s="21">
        <v>1458.6057000000001</v>
      </c>
      <c r="V581" s="21">
        <v>703</v>
      </c>
      <c r="W581" s="21">
        <v>52.154499999999999</v>
      </c>
    </row>
    <row r="582" spans="2:23" x14ac:dyDescent="0.3">
      <c r="B582" s="21">
        <v>5980</v>
      </c>
      <c r="C582" s="21">
        <v>0.75</v>
      </c>
      <c r="D582" s="21">
        <v>0.1</v>
      </c>
      <c r="E582" s="21">
        <v>1448.0361</v>
      </c>
      <c r="F582" s="21">
        <v>703</v>
      </c>
      <c r="G582" s="21">
        <v>51.506300000000003</v>
      </c>
      <c r="J582" s="21">
        <v>5980</v>
      </c>
      <c r="K582" s="21">
        <v>0.75</v>
      </c>
      <c r="L582" s="21">
        <v>0.1</v>
      </c>
      <c r="M582" s="21">
        <v>1465.1901</v>
      </c>
      <c r="N582" s="21">
        <v>703</v>
      </c>
      <c r="O582" s="21">
        <v>52.564700000000002</v>
      </c>
      <c r="R582" s="21">
        <v>5980</v>
      </c>
      <c r="S582" s="21">
        <v>0.75</v>
      </c>
      <c r="T582" s="21">
        <v>0.1</v>
      </c>
      <c r="U582" s="21">
        <v>1467.2295999999999</v>
      </c>
      <c r="V582" s="21">
        <v>703</v>
      </c>
      <c r="W582" s="21">
        <v>52.692799999999998</v>
      </c>
    </row>
    <row r="583" spans="2:23" x14ac:dyDescent="0.3">
      <c r="B583" s="21">
        <v>6180</v>
      </c>
      <c r="C583" s="21">
        <v>0.75</v>
      </c>
      <c r="D583" s="21">
        <v>0.1</v>
      </c>
      <c r="E583" s="21">
        <v>1455.7581</v>
      </c>
      <c r="F583" s="21">
        <v>703</v>
      </c>
      <c r="G583" s="21">
        <v>51.9786</v>
      </c>
      <c r="J583" s="21">
        <v>6180</v>
      </c>
      <c r="K583" s="21">
        <v>0.75</v>
      </c>
      <c r="L583" s="21">
        <v>0.1</v>
      </c>
      <c r="M583" s="21">
        <v>1472.4969000000001</v>
      </c>
      <c r="N583" s="21">
        <v>703</v>
      </c>
      <c r="O583" s="21">
        <v>53.025700000000001</v>
      </c>
      <c r="R583" s="21">
        <v>6180</v>
      </c>
      <c r="S583" s="21">
        <v>0.75</v>
      </c>
      <c r="T583" s="21">
        <v>0.1</v>
      </c>
      <c r="U583" s="21">
        <v>1474.4864</v>
      </c>
      <c r="V583" s="21">
        <v>703</v>
      </c>
      <c r="W583" s="21">
        <v>53.152299999999997</v>
      </c>
    </row>
    <row r="584" spans="2:23" x14ac:dyDescent="0.3">
      <c r="B584" s="21">
        <v>6380</v>
      </c>
      <c r="C584" s="21">
        <v>0.75</v>
      </c>
      <c r="D584" s="21">
        <v>0.1</v>
      </c>
      <c r="E584" s="21">
        <v>1462.2763</v>
      </c>
      <c r="F584" s="21">
        <v>703</v>
      </c>
      <c r="G584" s="21">
        <v>52.382599999999996</v>
      </c>
      <c r="J584" s="21">
        <v>6380</v>
      </c>
      <c r="K584" s="21">
        <v>0.75</v>
      </c>
      <c r="L584" s="21">
        <v>0.1</v>
      </c>
      <c r="M584" s="21">
        <v>1478.6367</v>
      </c>
      <c r="N584" s="21">
        <v>703</v>
      </c>
      <c r="O584" s="21">
        <v>53.417700000000004</v>
      </c>
      <c r="R584" s="21">
        <v>6380</v>
      </c>
      <c r="S584" s="21">
        <v>0.75</v>
      </c>
      <c r="T584" s="21">
        <v>0.1</v>
      </c>
      <c r="U584" s="21">
        <v>1480.5915</v>
      </c>
      <c r="V584" s="21">
        <v>703</v>
      </c>
      <c r="W584" s="21">
        <v>53.543399999999998</v>
      </c>
    </row>
    <row r="585" spans="2:23" x14ac:dyDescent="0.3">
      <c r="B585" s="21">
        <v>6580</v>
      </c>
      <c r="C585" s="21">
        <v>0.75</v>
      </c>
      <c r="D585" s="21">
        <v>0.1</v>
      </c>
      <c r="E585" s="21">
        <v>1467.7699</v>
      </c>
      <c r="F585" s="21">
        <v>703</v>
      </c>
      <c r="G585" s="21">
        <v>52.726799999999997</v>
      </c>
      <c r="J585" s="21">
        <v>6580</v>
      </c>
      <c r="K585" s="21">
        <v>0.75</v>
      </c>
      <c r="L585" s="21">
        <v>0.1</v>
      </c>
      <c r="M585" s="21">
        <v>1483.8069</v>
      </c>
      <c r="N585" s="21">
        <v>703</v>
      </c>
      <c r="O585" s="21">
        <v>53.750999999999998</v>
      </c>
      <c r="R585" s="21">
        <v>6580</v>
      </c>
      <c r="S585" s="21">
        <v>0.75</v>
      </c>
      <c r="T585" s="21">
        <v>0.1</v>
      </c>
      <c r="U585" s="21">
        <v>1485.7257999999999</v>
      </c>
      <c r="V585" s="21">
        <v>703</v>
      </c>
      <c r="W585" s="21">
        <v>53.875399999999999</v>
      </c>
    </row>
    <row r="586" spans="2:23" x14ac:dyDescent="0.3">
      <c r="B586" s="21">
        <v>6780</v>
      </c>
      <c r="C586" s="21">
        <v>0.75</v>
      </c>
      <c r="D586" s="21">
        <v>0.1</v>
      </c>
      <c r="E586" s="21">
        <v>1472.4185</v>
      </c>
      <c r="F586" s="21">
        <v>703</v>
      </c>
      <c r="G586" s="21">
        <v>53.020699999999998</v>
      </c>
      <c r="J586" s="21">
        <v>6780</v>
      </c>
      <c r="K586" s="21">
        <v>0.75</v>
      </c>
      <c r="L586" s="21">
        <v>0.1</v>
      </c>
      <c r="M586" s="21">
        <v>1488.1626000000001</v>
      </c>
      <c r="N586" s="21">
        <v>703</v>
      </c>
      <c r="O586" s="21">
        <v>54.033999999999999</v>
      </c>
      <c r="R586" s="21">
        <v>6780</v>
      </c>
      <c r="S586" s="21">
        <v>0.75</v>
      </c>
      <c r="T586" s="21">
        <v>0.1</v>
      </c>
      <c r="U586" s="21">
        <v>1490.0436999999999</v>
      </c>
      <c r="V586" s="21">
        <v>703</v>
      </c>
      <c r="W586" s="21">
        <v>54.156799999999997</v>
      </c>
    </row>
    <row r="587" spans="2:23" x14ac:dyDescent="0.3">
      <c r="B587" s="21">
        <v>6980</v>
      </c>
      <c r="C587" s="21">
        <v>0.75</v>
      </c>
      <c r="D587" s="21">
        <v>0.1</v>
      </c>
      <c r="E587" s="21">
        <v>1476.3400999999999</v>
      </c>
      <c r="F587" s="21">
        <v>703</v>
      </c>
      <c r="G587" s="21">
        <v>53.270600000000002</v>
      </c>
      <c r="J587" s="21">
        <v>6980</v>
      </c>
      <c r="K587" s="21">
        <v>0.75</v>
      </c>
      <c r="L587" s="21">
        <v>0.1</v>
      </c>
      <c r="M587" s="21">
        <v>1491.8191999999999</v>
      </c>
      <c r="N587" s="21">
        <v>703</v>
      </c>
      <c r="O587" s="21">
        <v>54.273200000000003</v>
      </c>
      <c r="R587" s="21">
        <v>6980</v>
      </c>
      <c r="S587" s="21">
        <v>0.75</v>
      </c>
      <c r="T587" s="21">
        <v>0.1</v>
      </c>
      <c r="U587" s="21">
        <v>1493.6738</v>
      </c>
      <c r="V587" s="21">
        <v>703</v>
      </c>
      <c r="W587" s="21">
        <v>54.395000000000003</v>
      </c>
    </row>
    <row r="588" spans="2:23" x14ac:dyDescent="0.3">
      <c r="B588" s="21">
        <v>7180</v>
      </c>
      <c r="C588" s="21">
        <v>0.75</v>
      </c>
      <c r="D588" s="21">
        <v>0.1</v>
      </c>
      <c r="E588" s="21">
        <v>1479.6378999999999</v>
      </c>
      <c r="F588" s="21">
        <v>703</v>
      </c>
      <c r="G588" s="21">
        <v>53.481999999999999</v>
      </c>
      <c r="J588" s="21">
        <v>7180</v>
      </c>
      <c r="K588" s="21">
        <v>0.75</v>
      </c>
      <c r="L588" s="21">
        <v>0.1</v>
      </c>
      <c r="M588" s="21">
        <v>1494.8996999999999</v>
      </c>
      <c r="N588" s="21">
        <v>703</v>
      </c>
      <c r="O588" s="21">
        <v>54.475700000000003</v>
      </c>
      <c r="R588" s="21">
        <v>7180</v>
      </c>
      <c r="S588" s="21">
        <v>0.75</v>
      </c>
      <c r="T588" s="21">
        <v>0.1</v>
      </c>
      <c r="U588" s="21">
        <v>1496.7258999999999</v>
      </c>
      <c r="V588" s="21">
        <v>703</v>
      </c>
      <c r="W588" s="21">
        <v>54.596299999999999</v>
      </c>
    </row>
    <row r="589" spans="2:23" x14ac:dyDescent="0.3">
      <c r="B589" s="21">
        <v>7380</v>
      </c>
      <c r="C589" s="21">
        <v>0.75</v>
      </c>
      <c r="D589" s="21">
        <v>0.1</v>
      </c>
      <c r="E589" s="21">
        <v>1482.4209000000001</v>
      </c>
      <c r="F589" s="21">
        <v>703</v>
      </c>
      <c r="G589" s="21">
        <v>53.661299999999997</v>
      </c>
      <c r="J589" s="21">
        <v>7380</v>
      </c>
      <c r="K589" s="21">
        <v>0.75</v>
      </c>
      <c r="L589" s="21">
        <v>0.1</v>
      </c>
      <c r="M589" s="21">
        <v>1497.4830999999999</v>
      </c>
      <c r="N589" s="21">
        <v>703</v>
      </c>
      <c r="O589" s="21">
        <v>54.6464</v>
      </c>
      <c r="R589" s="21">
        <v>7380</v>
      </c>
      <c r="S589" s="21">
        <v>0.75</v>
      </c>
      <c r="T589" s="21">
        <v>0.1</v>
      </c>
      <c r="U589" s="21">
        <v>1499.2910999999999</v>
      </c>
      <c r="V589" s="21">
        <v>703</v>
      </c>
      <c r="W589" s="21">
        <v>54.766300000000001</v>
      </c>
    </row>
    <row r="590" spans="2:23" x14ac:dyDescent="0.3">
      <c r="B590" s="21">
        <v>7580</v>
      </c>
      <c r="C590" s="21">
        <v>0.75</v>
      </c>
      <c r="D590" s="21">
        <v>0.1</v>
      </c>
      <c r="E590" s="21">
        <v>1484.7808</v>
      </c>
      <c r="F590" s="21">
        <v>703</v>
      </c>
      <c r="G590" s="21">
        <v>53.814100000000003</v>
      </c>
      <c r="J590" s="21">
        <v>7580</v>
      </c>
      <c r="K590" s="21">
        <v>0.75</v>
      </c>
      <c r="L590" s="21">
        <v>0.1</v>
      </c>
      <c r="M590" s="21">
        <v>1499.6615999999999</v>
      </c>
      <c r="N590" s="21">
        <v>703</v>
      </c>
      <c r="O590" s="21">
        <v>54.790900000000001</v>
      </c>
      <c r="R590" s="21">
        <v>7580</v>
      </c>
      <c r="S590" s="21">
        <v>0.75</v>
      </c>
      <c r="T590" s="21">
        <v>0.1</v>
      </c>
      <c r="U590" s="21">
        <v>1501.4475</v>
      </c>
      <c r="V590" s="21">
        <v>703</v>
      </c>
      <c r="W590" s="21">
        <v>54.909700000000001</v>
      </c>
    </row>
    <row r="591" spans="2:23" x14ac:dyDescent="0.3">
      <c r="B591" s="21">
        <v>7780</v>
      </c>
      <c r="C591" s="21">
        <v>0.75</v>
      </c>
      <c r="D591" s="21">
        <v>0.1</v>
      </c>
      <c r="E591" s="21">
        <v>1486.7714000000001</v>
      </c>
      <c r="F591" s="21">
        <v>703</v>
      </c>
      <c r="G591" s="21">
        <v>53.943399999999997</v>
      </c>
      <c r="J591" s="21">
        <v>7780</v>
      </c>
      <c r="K591" s="21">
        <v>0.75</v>
      </c>
      <c r="L591" s="21">
        <v>0.1</v>
      </c>
      <c r="M591" s="21">
        <v>1501.4853000000001</v>
      </c>
      <c r="N591" s="21">
        <v>703</v>
      </c>
      <c r="O591" s="21">
        <v>54.912199999999999</v>
      </c>
      <c r="R591" s="21">
        <v>7780</v>
      </c>
      <c r="S591" s="21">
        <v>0.75</v>
      </c>
      <c r="T591" s="21">
        <v>0.1</v>
      </c>
      <c r="U591" s="21">
        <v>1503.2593999999999</v>
      </c>
      <c r="V591" s="21">
        <v>703</v>
      </c>
      <c r="W591" s="21">
        <v>55.0306</v>
      </c>
    </row>
    <row r="592" spans="2:23" x14ac:dyDescent="0.3">
      <c r="B592" s="21">
        <v>7980</v>
      </c>
      <c r="C592" s="21">
        <v>0.75</v>
      </c>
      <c r="D592" s="21">
        <v>0.1</v>
      </c>
      <c r="E592" s="21">
        <v>1488.4319</v>
      </c>
      <c r="F592" s="21">
        <v>703</v>
      </c>
      <c r="G592" s="21">
        <v>54.051600000000001</v>
      </c>
      <c r="J592" s="21">
        <v>7980</v>
      </c>
      <c r="K592" s="21">
        <v>0.75</v>
      </c>
      <c r="L592" s="21">
        <v>0.1</v>
      </c>
      <c r="M592" s="21">
        <v>1503.0220999999999</v>
      </c>
      <c r="N592" s="21">
        <v>703</v>
      </c>
      <c r="O592" s="21">
        <v>55.014699999999998</v>
      </c>
      <c r="R592" s="21">
        <v>7980</v>
      </c>
      <c r="S592" s="21">
        <v>0.75</v>
      </c>
      <c r="T592" s="21">
        <v>0.1</v>
      </c>
      <c r="U592" s="21">
        <v>1504.7824000000001</v>
      </c>
      <c r="V592" s="21">
        <v>703</v>
      </c>
      <c r="W592" s="21">
        <v>55.132399999999997</v>
      </c>
    </row>
    <row r="593" spans="2:23" x14ac:dyDescent="0.3">
      <c r="B593" s="21">
        <v>8180</v>
      </c>
      <c r="C593" s="21">
        <v>0.75</v>
      </c>
      <c r="D593" s="21">
        <v>0.1</v>
      </c>
      <c r="E593" s="21">
        <v>1489.8539000000001</v>
      </c>
      <c r="F593" s="21">
        <v>703</v>
      </c>
      <c r="G593" s="21">
        <v>54.144399999999997</v>
      </c>
      <c r="J593" s="21">
        <v>8180</v>
      </c>
      <c r="K593" s="21">
        <v>0.75</v>
      </c>
      <c r="L593" s="21">
        <v>0.1</v>
      </c>
      <c r="M593" s="21">
        <v>1504.318</v>
      </c>
      <c r="N593" s="21">
        <v>703</v>
      </c>
      <c r="O593" s="21">
        <v>55.101300000000002</v>
      </c>
      <c r="R593" s="21">
        <v>8180</v>
      </c>
      <c r="S593" s="21">
        <v>0.75</v>
      </c>
      <c r="T593" s="21">
        <v>0.1</v>
      </c>
      <c r="U593" s="21">
        <v>1506.0617999999999</v>
      </c>
      <c r="V593" s="21">
        <v>703</v>
      </c>
      <c r="W593" s="21">
        <v>55.218200000000003</v>
      </c>
    </row>
    <row r="594" spans="2:23" x14ac:dyDescent="0.3">
      <c r="B594" s="21">
        <v>8380</v>
      </c>
      <c r="C594" s="21">
        <v>0.75</v>
      </c>
      <c r="D594" s="21">
        <v>0.1</v>
      </c>
      <c r="E594" s="21">
        <v>1491.0324000000001</v>
      </c>
      <c r="F594" s="21">
        <v>703</v>
      </c>
      <c r="G594" s="21">
        <v>54.221600000000002</v>
      </c>
      <c r="J594" s="21">
        <v>8380</v>
      </c>
      <c r="K594" s="21">
        <v>0.75</v>
      </c>
      <c r="L594" s="21">
        <v>0.1</v>
      </c>
      <c r="M594" s="21">
        <v>1505.4088999999999</v>
      </c>
      <c r="N594" s="21">
        <v>703</v>
      </c>
      <c r="O594" s="21">
        <v>55.174399999999999</v>
      </c>
      <c r="R594" s="21">
        <v>8380</v>
      </c>
      <c r="S594" s="21">
        <v>0.75</v>
      </c>
      <c r="T594" s="21">
        <v>0.1</v>
      </c>
      <c r="U594" s="21">
        <v>1507.1371999999999</v>
      </c>
      <c r="V594" s="21">
        <v>703</v>
      </c>
      <c r="W594" s="21">
        <v>55.290399999999998</v>
      </c>
    </row>
    <row r="595" spans="2:23" x14ac:dyDescent="0.3">
      <c r="B595" s="21">
        <v>8400</v>
      </c>
      <c r="C595" s="21">
        <v>0.75</v>
      </c>
      <c r="D595" s="21">
        <v>0.1</v>
      </c>
      <c r="E595" s="21">
        <v>1491.1567</v>
      </c>
      <c r="F595" s="21">
        <v>703</v>
      </c>
      <c r="G595" s="21">
        <v>54.229700000000001</v>
      </c>
      <c r="J595" s="21">
        <v>8400</v>
      </c>
      <c r="K595" s="21">
        <v>0.75</v>
      </c>
      <c r="L595" s="21">
        <v>0.1</v>
      </c>
      <c r="M595" s="21">
        <v>1505.5228999999999</v>
      </c>
      <c r="N595" s="21">
        <v>703</v>
      </c>
      <c r="O595" s="21">
        <v>55.182000000000002</v>
      </c>
      <c r="R595" s="21">
        <v>8400</v>
      </c>
      <c r="S595" s="21">
        <v>0.75</v>
      </c>
      <c r="T595" s="21">
        <v>0.1</v>
      </c>
      <c r="U595" s="21">
        <v>1507.2446</v>
      </c>
      <c r="V595" s="21">
        <v>703</v>
      </c>
      <c r="W595" s="21">
        <v>55.297600000000003</v>
      </c>
    </row>
    <row r="596" spans="2:23" x14ac:dyDescent="0.3">
      <c r="B596" s="21">
        <v>8600</v>
      </c>
      <c r="C596" s="21">
        <v>0.75</v>
      </c>
      <c r="D596" s="21">
        <v>0.1</v>
      </c>
      <c r="E596" s="21">
        <v>1489.4511</v>
      </c>
      <c r="F596" s="21">
        <v>703</v>
      </c>
      <c r="G596" s="21">
        <v>54.118099999999998</v>
      </c>
      <c r="J596" s="21">
        <v>8600</v>
      </c>
      <c r="K596" s="21">
        <v>0.75</v>
      </c>
      <c r="L596" s="21">
        <v>0.1</v>
      </c>
      <c r="M596" s="21">
        <v>1499.8642</v>
      </c>
      <c r="N596" s="21">
        <v>703</v>
      </c>
      <c r="O596" s="21">
        <v>54.804299999999998</v>
      </c>
      <c r="R596" s="21">
        <v>8600</v>
      </c>
      <c r="S596" s="21">
        <v>0.75</v>
      </c>
      <c r="T596" s="21">
        <v>0.1</v>
      </c>
      <c r="U596" s="21">
        <v>1501.0608999999999</v>
      </c>
      <c r="V596" s="21">
        <v>703</v>
      </c>
      <c r="W596" s="21">
        <v>54.883899999999997</v>
      </c>
    </row>
    <row r="597" spans="2:23" x14ac:dyDescent="0.3">
      <c r="B597" s="21">
        <v>8800</v>
      </c>
      <c r="C597" s="21">
        <v>0.75</v>
      </c>
      <c r="D597" s="21">
        <v>0.1</v>
      </c>
      <c r="E597" s="21">
        <v>1483.8657000000001</v>
      </c>
      <c r="F597" s="21">
        <v>703</v>
      </c>
      <c r="G597" s="21">
        <v>53.754800000000003</v>
      </c>
      <c r="J597" s="21">
        <v>8800</v>
      </c>
      <c r="K597" s="21">
        <v>0.75</v>
      </c>
      <c r="L597" s="21">
        <v>0.1</v>
      </c>
      <c r="M597" s="21">
        <v>1490.7025000000001</v>
      </c>
      <c r="N597" s="21">
        <v>703</v>
      </c>
      <c r="O597" s="21">
        <v>54.2</v>
      </c>
      <c r="R597" s="21">
        <v>8800</v>
      </c>
      <c r="S597" s="21">
        <v>0.75</v>
      </c>
      <c r="T597" s="21">
        <v>0.1</v>
      </c>
      <c r="U597" s="21">
        <v>1491.4458</v>
      </c>
      <c r="V597" s="21">
        <v>703</v>
      </c>
      <c r="W597" s="21">
        <v>54.248699999999999</v>
      </c>
    </row>
    <row r="598" spans="2:23" x14ac:dyDescent="0.3">
      <c r="B598" s="21">
        <v>9000</v>
      </c>
      <c r="C598" s="21">
        <v>0.75</v>
      </c>
      <c r="D598" s="21">
        <v>0.1</v>
      </c>
      <c r="E598" s="21">
        <v>1477.3713</v>
      </c>
      <c r="F598" s="21">
        <v>703</v>
      </c>
      <c r="G598" s="21">
        <v>53.336599999999997</v>
      </c>
      <c r="J598" s="21">
        <v>9000</v>
      </c>
      <c r="K598" s="21">
        <v>0.75</v>
      </c>
      <c r="L598" s="21">
        <v>0.1</v>
      </c>
      <c r="M598" s="21">
        <v>1481.0813000000001</v>
      </c>
      <c r="N598" s="21">
        <v>703</v>
      </c>
      <c r="O598" s="21">
        <v>53.5749</v>
      </c>
      <c r="R598" s="21">
        <v>9000</v>
      </c>
      <c r="S598" s="21">
        <v>0.75</v>
      </c>
      <c r="T598" s="21">
        <v>0.1</v>
      </c>
      <c r="U598" s="21">
        <v>1481.4345000000001</v>
      </c>
      <c r="V598" s="21">
        <v>703</v>
      </c>
      <c r="W598" s="21">
        <v>53.597700000000003</v>
      </c>
    </row>
    <row r="599" spans="2:23" x14ac:dyDescent="0.3">
      <c r="B599" s="21">
        <v>9200</v>
      </c>
      <c r="C599" s="21">
        <v>0.75</v>
      </c>
      <c r="D599" s="21">
        <v>0.1</v>
      </c>
      <c r="E599" s="21">
        <v>1471.1547</v>
      </c>
      <c r="F599" s="21">
        <v>703</v>
      </c>
      <c r="G599" s="21">
        <v>52.940600000000003</v>
      </c>
      <c r="J599" s="21">
        <v>9200</v>
      </c>
      <c r="K599" s="21">
        <v>0.75</v>
      </c>
      <c r="L599" s="21">
        <v>0.1</v>
      </c>
      <c r="M599" s="21">
        <v>1472.1655000000001</v>
      </c>
      <c r="N599" s="21">
        <v>703</v>
      </c>
      <c r="O599" s="21">
        <v>53.0047</v>
      </c>
      <c r="R599" s="21">
        <v>9200</v>
      </c>
      <c r="S599" s="21">
        <v>0.75</v>
      </c>
      <c r="T599" s="21">
        <v>0.1</v>
      </c>
      <c r="U599" s="21">
        <v>1472.1841999999999</v>
      </c>
      <c r="V599" s="21">
        <v>703</v>
      </c>
      <c r="W599" s="21">
        <v>53.005899999999997</v>
      </c>
    </row>
    <row r="600" spans="2:23" x14ac:dyDescent="0.3">
      <c r="B600" s="21">
        <v>9400</v>
      </c>
      <c r="C600" s="21">
        <v>0.75</v>
      </c>
      <c r="D600" s="21">
        <v>0.1</v>
      </c>
      <c r="E600" s="21">
        <v>1465.5981999999999</v>
      </c>
      <c r="F600" s="21">
        <v>703</v>
      </c>
      <c r="G600" s="21">
        <v>52.590299999999999</v>
      </c>
      <c r="J600" s="21">
        <v>9400</v>
      </c>
      <c r="K600" s="21">
        <v>0.75</v>
      </c>
      <c r="L600" s="21">
        <v>0.1</v>
      </c>
      <c r="M600" s="21">
        <v>1464.2484999999999</v>
      </c>
      <c r="N600" s="21">
        <v>703</v>
      </c>
      <c r="O600" s="21">
        <v>52.505800000000001</v>
      </c>
      <c r="R600" s="21">
        <v>9400</v>
      </c>
      <c r="S600" s="21">
        <v>0.75</v>
      </c>
      <c r="T600" s="21">
        <v>0.1</v>
      </c>
      <c r="U600" s="21">
        <v>1463.9836</v>
      </c>
      <c r="V600" s="21">
        <v>703</v>
      </c>
      <c r="W600" s="21">
        <v>52.489199999999997</v>
      </c>
    </row>
    <row r="601" spans="2:23" x14ac:dyDescent="0.3">
      <c r="B601" s="21">
        <v>9600</v>
      </c>
      <c r="C601" s="21">
        <v>0.75</v>
      </c>
      <c r="D601" s="21">
        <v>0.1</v>
      </c>
      <c r="E601" s="21">
        <v>1460.7260000000001</v>
      </c>
      <c r="F601" s="21">
        <v>703</v>
      </c>
      <c r="G601" s="21">
        <v>52.286099999999998</v>
      </c>
      <c r="J601" s="21">
        <v>9600</v>
      </c>
      <c r="K601" s="21">
        <v>0.75</v>
      </c>
      <c r="L601" s="21">
        <v>0.1</v>
      </c>
      <c r="M601" s="21">
        <v>1457.3427999999999</v>
      </c>
      <c r="N601" s="21">
        <v>703</v>
      </c>
      <c r="O601" s="21">
        <v>52.0764</v>
      </c>
      <c r="R601" s="21">
        <v>9600</v>
      </c>
      <c r="S601" s="21">
        <v>0.75</v>
      </c>
      <c r="T601" s="21">
        <v>0.1</v>
      </c>
      <c r="U601" s="21">
        <v>1456.8353999999999</v>
      </c>
      <c r="V601" s="21">
        <v>703</v>
      </c>
      <c r="W601" s="21">
        <v>52.045000000000002</v>
      </c>
    </row>
    <row r="602" spans="2:23" x14ac:dyDescent="0.3">
      <c r="B602" s="21">
        <v>9800</v>
      </c>
      <c r="C602" s="21">
        <v>0.75</v>
      </c>
      <c r="D602" s="21">
        <v>0.1</v>
      </c>
      <c r="E602" s="21">
        <v>1456.5261</v>
      </c>
      <c r="F602" s="21">
        <v>703</v>
      </c>
      <c r="G602" s="21">
        <v>52.0259</v>
      </c>
      <c r="J602" s="21">
        <v>9800</v>
      </c>
      <c r="K602" s="21">
        <v>0.75</v>
      </c>
      <c r="L602" s="21">
        <v>0.1</v>
      </c>
      <c r="M602" s="21">
        <v>1451.3705</v>
      </c>
      <c r="N602" s="21">
        <v>703</v>
      </c>
      <c r="O602" s="21">
        <v>51.709400000000002</v>
      </c>
      <c r="R602" s="21">
        <v>9800</v>
      </c>
      <c r="S602" s="21">
        <v>0.75</v>
      </c>
      <c r="T602" s="21">
        <v>0.1</v>
      </c>
      <c r="U602" s="21">
        <v>1450.6525999999999</v>
      </c>
      <c r="V602" s="21">
        <v>703</v>
      </c>
      <c r="W602" s="21">
        <v>51.665599999999998</v>
      </c>
    </row>
    <row r="603" spans="2:23" x14ac:dyDescent="0.3">
      <c r="B603" s="21">
        <v>10000</v>
      </c>
      <c r="C603" s="21">
        <v>0.75</v>
      </c>
      <c r="D603" s="21">
        <v>0.1</v>
      </c>
      <c r="E603" s="21">
        <v>1452.8960999999999</v>
      </c>
      <c r="F603" s="21">
        <v>703</v>
      </c>
      <c r="G603" s="21">
        <v>51.802700000000002</v>
      </c>
      <c r="J603" s="21">
        <v>10000</v>
      </c>
      <c r="K603" s="21">
        <v>0.75</v>
      </c>
      <c r="L603" s="21">
        <v>0.1</v>
      </c>
      <c r="M603" s="21">
        <v>1446.2306000000001</v>
      </c>
      <c r="N603" s="21">
        <v>703</v>
      </c>
      <c r="O603" s="21">
        <v>51.396900000000002</v>
      </c>
      <c r="R603" s="21">
        <v>10000</v>
      </c>
      <c r="S603" s="21">
        <v>0.75</v>
      </c>
      <c r="T603" s="21">
        <v>0.1</v>
      </c>
      <c r="U603" s="21">
        <v>1445.3338000000001</v>
      </c>
      <c r="V603" s="21">
        <v>703</v>
      </c>
      <c r="W603" s="21">
        <v>51.342700000000001</v>
      </c>
    </row>
    <row r="604" spans="2:23" x14ac:dyDescent="0.3">
      <c r="B604" s="21">
        <v>10200</v>
      </c>
      <c r="C604" s="21">
        <v>0.75</v>
      </c>
      <c r="D604" s="21">
        <v>0.1</v>
      </c>
      <c r="E604" s="21">
        <v>1449.7916</v>
      </c>
      <c r="F604" s="21">
        <v>703</v>
      </c>
      <c r="G604" s="21">
        <v>51.613100000000003</v>
      </c>
      <c r="J604" s="21">
        <v>10200</v>
      </c>
      <c r="K604" s="21">
        <v>0.75</v>
      </c>
      <c r="L604" s="21">
        <v>0.1</v>
      </c>
      <c r="M604" s="21">
        <v>1441.8215</v>
      </c>
      <c r="N604" s="21">
        <v>703</v>
      </c>
      <c r="O604" s="21">
        <v>51.131300000000003</v>
      </c>
      <c r="R604" s="21">
        <v>10200</v>
      </c>
      <c r="S604" s="21">
        <v>0.75</v>
      </c>
      <c r="T604" s="21">
        <v>0.1</v>
      </c>
      <c r="U604" s="21">
        <v>1440.7651000000001</v>
      </c>
      <c r="V604" s="21">
        <v>703</v>
      </c>
      <c r="W604" s="21">
        <v>51.067999999999998</v>
      </c>
    </row>
    <row r="605" spans="2:23" x14ac:dyDescent="0.3">
      <c r="B605" s="21">
        <v>10400</v>
      </c>
      <c r="C605" s="21">
        <v>0.75</v>
      </c>
      <c r="D605" s="21">
        <v>0.1</v>
      </c>
      <c r="E605" s="21">
        <v>1447.1369</v>
      </c>
      <c r="F605" s="21">
        <v>703</v>
      </c>
      <c r="G605" s="21">
        <v>51.451799999999999</v>
      </c>
      <c r="J605" s="21">
        <v>10400</v>
      </c>
      <c r="K605" s="21">
        <v>0.75</v>
      </c>
      <c r="L605" s="21">
        <v>0.1</v>
      </c>
      <c r="M605" s="21">
        <v>1438.0344</v>
      </c>
      <c r="N605" s="21">
        <v>703</v>
      </c>
      <c r="O605" s="21">
        <v>50.905000000000001</v>
      </c>
      <c r="R605" s="21">
        <v>10400</v>
      </c>
      <c r="S605" s="21">
        <v>0.75</v>
      </c>
      <c r="T605" s="21">
        <v>0.1</v>
      </c>
      <c r="U605" s="21">
        <v>1436.8466000000001</v>
      </c>
      <c r="V605" s="21">
        <v>703</v>
      </c>
      <c r="W605" s="21">
        <v>50.834400000000002</v>
      </c>
    </row>
    <row r="606" spans="2:23" x14ac:dyDescent="0.3">
      <c r="B606" s="21">
        <v>10600</v>
      </c>
      <c r="C606" s="21">
        <v>0.75</v>
      </c>
      <c r="D606" s="21">
        <v>0.1</v>
      </c>
      <c r="E606" s="21">
        <v>1444.8614</v>
      </c>
      <c r="F606" s="21">
        <v>703</v>
      </c>
      <c r="G606" s="21">
        <v>51.3142</v>
      </c>
      <c r="J606" s="21">
        <v>10600</v>
      </c>
      <c r="K606" s="21">
        <v>0.75</v>
      </c>
      <c r="L606" s="21">
        <v>0.1</v>
      </c>
      <c r="M606" s="21">
        <v>1434.7846</v>
      </c>
      <c r="N606" s="21">
        <v>703</v>
      </c>
      <c r="O606" s="21">
        <v>50.712200000000003</v>
      </c>
      <c r="R606" s="21">
        <v>10600</v>
      </c>
      <c r="S606" s="21">
        <v>0.75</v>
      </c>
      <c r="T606" s="21">
        <v>0.1</v>
      </c>
      <c r="U606" s="21">
        <v>1433.4902</v>
      </c>
      <c r="V606" s="21">
        <v>703</v>
      </c>
      <c r="W606" s="21">
        <v>50.6357</v>
      </c>
    </row>
    <row r="607" spans="2:23" x14ac:dyDescent="0.3">
      <c r="B607" s="21">
        <v>10800</v>
      </c>
      <c r="C607" s="21">
        <v>0.75</v>
      </c>
      <c r="D607" s="21">
        <v>0.1</v>
      </c>
      <c r="E607" s="21">
        <v>1442.9328</v>
      </c>
      <c r="F607" s="21">
        <v>703</v>
      </c>
      <c r="G607" s="21">
        <v>51.198</v>
      </c>
      <c r="J607" s="21">
        <v>10800</v>
      </c>
      <c r="K607" s="21">
        <v>0.75</v>
      </c>
      <c r="L607" s="21">
        <v>0.1</v>
      </c>
      <c r="M607" s="21">
        <v>1432.0137999999999</v>
      </c>
      <c r="N607" s="21">
        <v>703</v>
      </c>
      <c r="O607" s="21">
        <v>50.5488</v>
      </c>
      <c r="R607" s="21">
        <v>10800</v>
      </c>
      <c r="S607" s="21">
        <v>0.75</v>
      </c>
      <c r="T607" s="21">
        <v>0.1</v>
      </c>
      <c r="U607" s="21">
        <v>1430.6166000000001</v>
      </c>
      <c r="V607" s="21">
        <v>703</v>
      </c>
      <c r="W607" s="21">
        <v>50.466700000000003</v>
      </c>
    </row>
    <row r="608" spans="2:23" x14ac:dyDescent="0.3">
      <c r="B608" s="21">
        <v>11000</v>
      </c>
      <c r="C608" s="21">
        <v>0.75</v>
      </c>
      <c r="D608" s="21">
        <v>0.1</v>
      </c>
      <c r="E608" s="21">
        <v>1441.2621999999999</v>
      </c>
      <c r="F608" s="21">
        <v>703</v>
      </c>
      <c r="G608" s="21">
        <v>51.097799999999999</v>
      </c>
      <c r="J608" s="21">
        <v>11000</v>
      </c>
      <c r="K608" s="21">
        <v>0.75</v>
      </c>
      <c r="L608" s="21">
        <v>0.1</v>
      </c>
      <c r="M608" s="21">
        <v>1429.6413</v>
      </c>
      <c r="N608" s="21">
        <v>703</v>
      </c>
      <c r="O608" s="21">
        <v>50.409599999999998</v>
      </c>
      <c r="R608" s="21">
        <v>11000</v>
      </c>
      <c r="S608" s="21">
        <v>0.75</v>
      </c>
      <c r="T608" s="21">
        <v>0.1</v>
      </c>
      <c r="U608" s="21">
        <v>1428.1581000000001</v>
      </c>
      <c r="V608" s="21">
        <v>703</v>
      </c>
      <c r="W608" s="21">
        <v>50.322899999999997</v>
      </c>
    </row>
    <row r="609" spans="2:23" x14ac:dyDescent="0.3">
      <c r="B609" s="21">
        <v>11200</v>
      </c>
      <c r="C609" s="21">
        <v>0.75</v>
      </c>
      <c r="D609" s="21">
        <v>0.1</v>
      </c>
      <c r="E609" s="21">
        <v>1439.8579999999999</v>
      </c>
      <c r="F609" s="21">
        <v>703</v>
      </c>
      <c r="G609" s="21">
        <v>51.013800000000003</v>
      </c>
      <c r="J609" s="21">
        <v>11200</v>
      </c>
      <c r="K609" s="21">
        <v>0.75</v>
      </c>
      <c r="L609" s="21">
        <v>0.1</v>
      </c>
      <c r="M609" s="21">
        <v>1427.6101000000001</v>
      </c>
      <c r="N609" s="21">
        <v>703</v>
      </c>
      <c r="O609" s="21">
        <v>50.290999999999997</v>
      </c>
      <c r="R609" s="21">
        <v>11200</v>
      </c>
      <c r="S609" s="21">
        <v>0.75</v>
      </c>
      <c r="T609" s="21">
        <v>0.1</v>
      </c>
      <c r="U609" s="21">
        <v>1426.0545</v>
      </c>
      <c r="V609" s="21">
        <v>703</v>
      </c>
      <c r="W609" s="21">
        <v>50.200499999999998</v>
      </c>
    </row>
    <row r="610" spans="2:23" x14ac:dyDescent="0.3">
      <c r="B610" s="21">
        <v>11400</v>
      </c>
      <c r="C610" s="21">
        <v>0.75</v>
      </c>
      <c r="D610" s="21">
        <v>0.1</v>
      </c>
      <c r="E610" s="21">
        <v>1438.64</v>
      </c>
      <c r="F610" s="21">
        <v>703</v>
      </c>
      <c r="G610" s="21">
        <v>50.941099999999999</v>
      </c>
      <c r="J610" s="21">
        <v>11400</v>
      </c>
      <c r="K610" s="21">
        <v>0.75</v>
      </c>
      <c r="L610" s="21">
        <v>0.1</v>
      </c>
      <c r="M610" s="21">
        <v>1425.8738000000001</v>
      </c>
      <c r="N610" s="21">
        <v>703</v>
      </c>
      <c r="O610" s="21">
        <v>50.19</v>
      </c>
      <c r="R610" s="21">
        <v>11400</v>
      </c>
      <c r="S610" s="21">
        <v>0.75</v>
      </c>
      <c r="T610" s="21">
        <v>0.1</v>
      </c>
      <c r="U610" s="21">
        <v>1424.2552000000001</v>
      </c>
      <c r="V610" s="21">
        <v>703</v>
      </c>
      <c r="W610" s="21">
        <v>50.096200000000003</v>
      </c>
    </row>
    <row r="611" spans="2:23" x14ac:dyDescent="0.3">
      <c r="B611" s="21">
        <v>11600</v>
      </c>
      <c r="C611" s="21">
        <v>0.75</v>
      </c>
      <c r="D611" s="21">
        <v>0.1</v>
      </c>
      <c r="E611" s="21">
        <v>1437.6249</v>
      </c>
      <c r="F611" s="21">
        <v>703</v>
      </c>
      <c r="G611" s="21">
        <v>50.880699999999997</v>
      </c>
      <c r="J611" s="21">
        <v>11600</v>
      </c>
      <c r="K611" s="21">
        <v>0.75</v>
      </c>
      <c r="L611" s="21">
        <v>0.1</v>
      </c>
      <c r="M611" s="21">
        <v>1424.3896999999999</v>
      </c>
      <c r="N611" s="21">
        <v>703</v>
      </c>
      <c r="O611" s="21">
        <v>50.103999999999999</v>
      </c>
      <c r="R611" s="21">
        <v>11600</v>
      </c>
      <c r="S611" s="21">
        <v>0.75</v>
      </c>
      <c r="T611" s="21">
        <v>0.1</v>
      </c>
      <c r="U611" s="21">
        <v>1422.71</v>
      </c>
      <c r="V611" s="21">
        <v>703</v>
      </c>
      <c r="W611" s="21">
        <v>50.006900000000002</v>
      </c>
    </row>
    <row r="612" spans="2:23" x14ac:dyDescent="0.3">
      <c r="B612" s="21">
        <v>11800</v>
      </c>
      <c r="C612" s="21">
        <v>0.75</v>
      </c>
      <c r="D612" s="21">
        <v>0.1</v>
      </c>
      <c r="E612" s="21">
        <v>1436.7391</v>
      </c>
      <c r="F612" s="21">
        <v>703</v>
      </c>
      <c r="G612" s="21">
        <v>50.828000000000003</v>
      </c>
      <c r="J612" s="21">
        <v>11800</v>
      </c>
      <c r="K612" s="21">
        <v>0.75</v>
      </c>
      <c r="L612" s="21">
        <v>0.1</v>
      </c>
      <c r="M612" s="21">
        <v>1423.1085</v>
      </c>
      <c r="N612" s="21">
        <v>703</v>
      </c>
      <c r="O612" s="21">
        <v>50.029899999999998</v>
      </c>
      <c r="R612" s="21">
        <v>11800</v>
      </c>
      <c r="S612" s="21">
        <v>0.75</v>
      </c>
      <c r="T612" s="21">
        <v>0.1</v>
      </c>
      <c r="U612" s="21">
        <v>1421.3878</v>
      </c>
      <c r="V612" s="21">
        <v>703</v>
      </c>
      <c r="W612" s="21">
        <v>49.930700000000002</v>
      </c>
    </row>
    <row r="613" spans="2:23" x14ac:dyDescent="0.3">
      <c r="B613" s="21">
        <v>12000</v>
      </c>
      <c r="C613" s="21">
        <v>0.75</v>
      </c>
      <c r="D613" s="21">
        <v>0.1</v>
      </c>
      <c r="E613" s="21">
        <v>1436.0051000000001</v>
      </c>
      <c r="F613" s="21">
        <v>703</v>
      </c>
      <c r="G613" s="21">
        <v>50.784500000000001</v>
      </c>
      <c r="J613" s="21">
        <v>12000</v>
      </c>
      <c r="K613" s="21">
        <v>0.75</v>
      </c>
      <c r="L613" s="21">
        <v>0.1</v>
      </c>
      <c r="M613" s="21">
        <v>1422.0173</v>
      </c>
      <c r="N613" s="21">
        <v>703</v>
      </c>
      <c r="O613" s="21">
        <v>49.966999999999999</v>
      </c>
      <c r="R613" s="21">
        <v>12000</v>
      </c>
      <c r="S613" s="21">
        <v>0.75</v>
      </c>
      <c r="T613" s="21">
        <v>0.1</v>
      </c>
      <c r="U613" s="21">
        <v>1420.2571</v>
      </c>
      <c r="V613" s="21">
        <v>703</v>
      </c>
      <c r="W613" s="21">
        <v>49.8658</v>
      </c>
    </row>
    <row r="614" spans="2:23" x14ac:dyDescent="0.3">
      <c r="B614" s="21">
        <v>12200</v>
      </c>
      <c r="C614" s="21">
        <v>0.75</v>
      </c>
      <c r="D614" s="21">
        <v>0.1</v>
      </c>
      <c r="E614" s="21">
        <v>1435.3539000000001</v>
      </c>
      <c r="F614" s="21">
        <v>703</v>
      </c>
      <c r="G614" s="21">
        <v>50.745899999999999</v>
      </c>
      <c r="J614" s="21">
        <v>12200</v>
      </c>
      <c r="K614" s="21">
        <v>0.75</v>
      </c>
      <c r="L614" s="21">
        <v>0.1</v>
      </c>
      <c r="M614" s="21">
        <v>1421.0891999999999</v>
      </c>
      <c r="N614" s="21">
        <v>703</v>
      </c>
      <c r="O614" s="21">
        <v>49.913600000000002</v>
      </c>
      <c r="R614" s="21">
        <v>12200</v>
      </c>
      <c r="S614" s="21">
        <v>0.75</v>
      </c>
      <c r="T614" s="21">
        <v>0.1</v>
      </c>
      <c r="U614" s="21">
        <v>1419.2893999999999</v>
      </c>
      <c r="V614" s="21">
        <v>703</v>
      </c>
      <c r="W614" s="21">
        <v>49.810299999999998</v>
      </c>
    </row>
    <row r="615" spans="2:23" x14ac:dyDescent="0.3">
      <c r="B615" s="21">
        <v>12400</v>
      </c>
      <c r="C615" s="21">
        <v>0.75</v>
      </c>
      <c r="D615" s="21">
        <v>0.1</v>
      </c>
      <c r="E615" s="21">
        <v>1434.8126999999999</v>
      </c>
      <c r="F615" s="21">
        <v>703</v>
      </c>
      <c r="G615" s="21">
        <v>50.713900000000002</v>
      </c>
      <c r="J615" s="21">
        <v>12400</v>
      </c>
      <c r="K615" s="21">
        <v>0.75</v>
      </c>
      <c r="L615" s="21">
        <v>0.1</v>
      </c>
      <c r="M615" s="21">
        <v>1420.2879</v>
      </c>
      <c r="N615" s="21">
        <v>703</v>
      </c>
      <c r="O615" s="21">
        <v>49.867600000000003</v>
      </c>
      <c r="R615" s="21">
        <v>12400</v>
      </c>
      <c r="S615" s="21">
        <v>0.75</v>
      </c>
      <c r="T615" s="21">
        <v>0.1</v>
      </c>
      <c r="U615" s="21">
        <v>1418.4619</v>
      </c>
      <c r="V615" s="21">
        <v>703</v>
      </c>
      <c r="W615" s="21">
        <v>49.762999999999998</v>
      </c>
    </row>
    <row r="616" spans="2:23" x14ac:dyDescent="0.3">
      <c r="B616" s="21">
        <v>12600</v>
      </c>
      <c r="C616" s="21">
        <v>0.75</v>
      </c>
      <c r="D616" s="21">
        <v>0.1</v>
      </c>
      <c r="E616" s="21">
        <v>1434.3453999999999</v>
      </c>
      <c r="F616" s="21">
        <v>703</v>
      </c>
      <c r="G616" s="21">
        <v>50.686199999999999</v>
      </c>
      <c r="J616" s="21">
        <v>12600</v>
      </c>
      <c r="K616" s="21">
        <v>0.75</v>
      </c>
      <c r="L616" s="21">
        <v>0.1</v>
      </c>
      <c r="M616" s="21">
        <v>1419.5966000000001</v>
      </c>
      <c r="N616" s="21">
        <v>703</v>
      </c>
      <c r="O616" s="21">
        <v>49.8279</v>
      </c>
      <c r="R616" s="21">
        <v>12600</v>
      </c>
      <c r="S616" s="21">
        <v>0.75</v>
      </c>
      <c r="T616" s="21">
        <v>0.1</v>
      </c>
      <c r="U616" s="21">
        <v>1417.7536</v>
      </c>
      <c r="V616" s="21">
        <v>703</v>
      </c>
      <c r="W616" s="21">
        <v>49.722499999999997</v>
      </c>
    </row>
    <row r="617" spans="2:23" x14ac:dyDescent="0.3">
      <c r="B617" s="21">
        <v>12800</v>
      </c>
      <c r="C617" s="21">
        <v>0.75</v>
      </c>
      <c r="D617" s="21">
        <v>0.1</v>
      </c>
      <c r="E617" s="21">
        <v>1433.9487999999999</v>
      </c>
      <c r="F617" s="21">
        <v>703</v>
      </c>
      <c r="G617" s="21">
        <v>50.662799999999997</v>
      </c>
      <c r="J617" s="21">
        <v>12800</v>
      </c>
      <c r="K617" s="21">
        <v>0.75</v>
      </c>
      <c r="L617" s="21">
        <v>0.1</v>
      </c>
      <c r="M617" s="21">
        <v>1419.0165</v>
      </c>
      <c r="N617" s="21">
        <v>703</v>
      </c>
      <c r="O617" s="21">
        <v>49.794699999999999</v>
      </c>
      <c r="R617" s="21">
        <v>12800</v>
      </c>
      <c r="S617" s="21">
        <v>0.75</v>
      </c>
      <c r="T617" s="21">
        <v>0.1</v>
      </c>
      <c r="U617" s="21">
        <v>1417.1482000000001</v>
      </c>
      <c r="V617" s="21">
        <v>703</v>
      </c>
      <c r="W617" s="21">
        <v>49.688000000000002</v>
      </c>
    </row>
    <row r="618" spans="2:23" x14ac:dyDescent="0.3">
      <c r="B618" s="21">
        <v>13000</v>
      </c>
      <c r="C618" s="21">
        <v>0.75</v>
      </c>
      <c r="D618" s="21">
        <v>0.1</v>
      </c>
      <c r="E618" s="21">
        <v>1433.6206999999999</v>
      </c>
      <c r="F618" s="21">
        <v>703</v>
      </c>
      <c r="G618" s="21">
        <v>50.6434</v>
      </c>
      <c r="J618" s="21">
        <v>13000</v>
      </c>
      <c r="K618" s="21">
        <v>0.75</v>
      </c>
      <c r="L618" s="21">
        <v>0.1</v>
      </c>
      <c r="M618" s="21">
        <v>1418.5183999999999</v>
      </c>
      <c r="N618" s="21">
        <v>703</v>
      </c>
      <c r="O618" s="21">
        <v>49.766199999999998</v>
      </c>
      <c r="R618" s="21">
        <v>13000</v>
      </c>
      <c r="S618" s="21">
        <v>0.75</v>
      </c>
      <c r="T618" s="21">
        <v>0.1</v>
      </c>
      <c r="U618" s="21">
        <v>1416.6301000000001</v>
      </c>
      <c r="V618" s="21">
        <v>703</v>
      </c>
      <c r="W618" s="21">
        <v>49.658499999999997</v>
      </c>
    </row>
    <row r="619" spans="2:23" x14ac:dyDescent="0.3">
      <c r="B619" s="21">
        <v>13200</v>
      </c>
      <c r="C619" s="21">
        <v>0.75</v>
      </c>
      <c r="D619" s="21">
        <v>0.1</v>
      </c>
      <c r="E619" s="21">
        <v>1433.3271999999999</v>
      </c>
      <c r="F619" s="21">
        <v>703</v>
      </c>
      <c r="G619" s="21">
        <v>50.626100000000001</v>
      </c>
      <c r="J619" s="21">
        <v>13200</v>
      </c>
      <c r="K619" s="21">
        <v>0.75</v>
      </c>
      <c r="L619" s="21">
        <v>0.1</v>
      </c>
      <c r="M619" s="21">
        <v>1418.0923</v>
      </c>
      <c r="N619" s="21">
        <v>703</v>
      </c>
      <c r="O619" s="21">
        <v>49.741900000000001</v>
      </c>
      <c r="R619" s="21">
        <v>13200</v>
      </c>
      <c r="S619" s="21">
        <v>0.75</v>
      </c>
      <c r="T619" s="21">
        <v>0.1</v>
      </c>
      <c r="U619" s="21">
        <v>1416.1805999999999</v>
      </c>
      <c r="V619" s="21">
        <v>703</v>
      </c>
      <c r="W619" s="21">
        <v>49.632899999999999</v>
      </c>
    </row>
    <row r="620" spans="2:23" x14ac:dyDescent="0.3">
      <c r="B620" s="21">
        <v>13400</v>
      </c>
      <c r="C620" s="21">
        <v>0.75</v>
      </c>
      <c r="D620" s="21">
        <v>0.1</v>
      </c>
      <c r="E620" s="21">
        <v>1433.0993000000001</v>
      </c>
      <c r="F620" s="21">
        <v>703</v>
      </c>
      <c r="G620" s="21">
        <v>50.612699999999997</v>
      </c>
      <c r="J620" s="21">
        <v>13400</v>
      </c>
      <c r="K620" s="21">
        <v>0.75</v>
      </c>
      <c r="L620" s="21">
        <v>0.1</v>
      </c>
      <c r="M620" s="21">
        <v>1417.7141999999999</v>
      </c>
      <c r="N620" s="21">
        <v>703</v>
      </c>
      <c r="O620" s="21">
        <v>49.720300000000002</v>
      </c>
      <c r="R620" s="21">
        <v>13400</v>
      </c>
      <c r="S620" s="21">
        <v>0.75</v>
      </c>
      <c r="T620" s="21">
        <v>0.1</v>
      </c>
      <c r="U620" s="21">
        <v>1415.7968000000001</v>
      </c>
      <c r="V620" s="21">
        <v>703</v>
      </c>
      <c r="W620" s="21">
        <v>49.6111</v>
      </c>
    </row>
    <row r="621" spans="2:23" x14ac:dyDescent="0.3">
      <c r="B621" s="21">
        <v>13600</v>
      </c>
      <c r="C621" s="21">
        <v>0.75</v>
      </c>
      <c r="D621" s="21">
        <v>0.1</v>
      </c>
      <c r="E621" s="21">
        <v>1432.8739</v>
      </c>
      <c r="F621" s="21">
        <v>703</v>
      </c>
      <c r="G621" s="21">
        <v>50.599400000000003</v>
      </c>
      <c r="J621" s="21">
        <v>13600</v>
      </c>
      <c r="K621" s="21">
        <v>0.75</v>
      </c>
      <c r="L621" s="21">
        <v>0.1</v>
      </c>
      <c r="M621" s="21">
        <v>1417.3937000000001</v>
      </c>
      <c r="N621" s="21">
        <v>703</v>
      </c>
      <c r="O621" s="21">
        <v>49.701999999999998</v>
      </c>
      <c r="R621" s="21">
        <v>13600</v>
      </c>
      <c r="S621" s="21">
        <v>0.75</v>
      </c>
      <c r="T621" s="21">
        <v>0.1</v>
      </c>
      <c r="U621" s="21">
        <v>1415.4684999999999</v>
      </c>
      <c r="V621" s="21">
        <v>703</v>
      </c>
      <c r="W621" s="21">
        <v>49.592399999999998</v>
      </c>
    </row>
    <row r="622" spans="2:23" x14ac:dyDescent="0.3">
      <c r="B622" s="21">
        <v>13800</v>
      </c>
      <c r="C622" s="21">
        <v>0.75</v>
      </c>
      <c r="D622" s="21">
        <v>0.1</v>
      </c>
      <c r="E622" s="21">
        <v>1432.7125000000001</v>
      </c>
      <c r="F622" s="21">
        <v>703</v>
      </c>
      <c r="G622" s="21">
        <v>50.5899</v>
      </c>
      <c r="J622" s="21">
        <v>13800</v>
      </c>
      <c r="K622" s="21">
        <v>0.75</v>
      </c>
      <c r="L622" s="21">
        <v>0.1</v>
      </c>
      <c r="M622" s="21">
        <v>1417.1248000000001</v>
      </c>
      <c r="N622" s="21">
        <v>703</v>
      </c>
      <c r="O622" s="21">
        <v>49.686700000000002</v>
      </c>
      <c r="R622" s="21">
        <v>13800</v>
      </c>
      <c r="S622" s="21">
        <v>0.75</v>
      </c>
      <c r="T622" s="21">
        <v>0.1</v>
      </c>
      <c r="U622" s="21">
        <v>1415.1886999999999</v>
      </c>
      <c r="V622" s="21">
        <v>703</v>
      </c>
      <c r="W622" s="21">
        <v>49.576599999999999</v>
      </c>
    </row>
    <row r="623" spans="2:23" x14ac:dyDescent="0.3">
      <c r="B623" s="21">
        <v>14000</v>
      </c>
      <c r="C623" s="21">
        <v>0.75</v>
      </c>
      <c r="D623" s="21">
        <v>0.1</v>
      </c>
      <c r="E623" s="21">
        <v>1432.5524</v>
      </c>
      <c r="F623" s="21">
        <v>703</v>
      </c>
      <c r="G623" s="21">
        <v>50.580500000000001</v>
      </c>
      <c r="J623" s="21">
        <v>14000</v>
      </c>
      <c r="K623" s="21">
        <v>0.75</v>
      </c>
      <c r="L623" s="21">
        <v>0.1</v>
      </c>
      <c r="M623" s="21">
        <v>1416.8884</v>
      </c>
      <c r="N623" s="21">
        <v>703</v>
      </c>
      <c r="O623" s="21">
        <v>49.673200000000001</v>
      </c>
      <c r="R623" s="21">
        <v>14000</v>
      </c>
      <c r="S623" s="21">
        <v>0.75</v>
      </c>
      <c r="T623" s="21">
        <v>0.1</v>
      </c>
      <c r="U623" s="21">
        <v>1414.9499000000001</v>
      </c>
      <c r="V623" s="21">
        <v>703</v>
      </c>
      <c r="W623" s="21">
        <v>49.563000000000002</v>
      </c>
    </row>
    <row r="624" spans="2:23" x14ac:dyDescent="0.3">
      <c r="B624" s="21">
        <v>14200</v>
      </c>
      <c r="C624" s="21">
        <v>0.75</v>
      </c>
      <c r="D624" s="21">
        <v>0.1</v>
      </c>
      <c r="E624" s="21">
        <v>1432.4256</v>
      </c>
      <c r="F624" s="21">
        <v>703</v>
      </c>
      <c r="G624" s="21">
        <v>50.573</v>
      </c>
      <c r="J624" s="21">
        <v>14200</v>
      </c>
      <c r="K624" s="21">
        <v>0.75</v>
      </c>
      <c r="L624" s="21">
        <v>0.1</v>
      </c>
      <c r="M624" s="21">
        <v>1416.6797999999999</v>
      </c>
      <c r="N624" s="21">
        <v>703</v>
      </c>
      <c r="O624" s="21">
        <v>49.661299999999997</v>
      </c>
      <c r="R624" s="21">
        <v>14200</v>
      </c>
      <c r="S624" s="21">
        <v>0.75</v>
      </c>
      <c r="T624" s="21">
        <v>0.1</v>
      </c>
      <c r="U624" s="21">
        <v>1414.74</v>
      </c>
      <c r="V624" s="21">
        <v>703</v>
      </c>
      <c r="W624" s="21">
        <v>49.551099999999998</v>
      </c>
    </row>
    <row r="625" spans="2:23" x14ac:dyDescent="0.3">
      <c r="B625" s="21">
        <v>14400</v>
      </c>
      <c r="C625" s="21">
        <v>0.75</v>
      </c>
      <c r="D625" s="21">
        <v>0.1</v>
      </c>
      <c r="E625" s="21">
        <v>1432.3294000000001</v>
      </c>
      <c r="F625" s="21">
        <v>703</v>
      </c>
      <c r="G625" s="21">
        <v>50.567399999999999</v>
      </c>
      <c r="J625" s="21">
        <v>14400</v>
      </c>
      <c r="K625" s="21">
        <v>0.75</v>
      </c>
      <c r="L625" s="21">
        <v>0.1</v>
      </c>
      <c r="M625" s="21">
        <v>1416.5117</v>
      </c>
      <c r="N625" s="21">
        <v>703</v>
      </c>
      <c r="O625" s="21">
        <v>49.651699999999998</v>
      </c>
      <c r="R625" s="21">
        <v>14400</v>
      </c>
      <c r="S625" s="21">
        <v>0.75</v>
      </c>
      <c r="T625" s="21">
        <v>0.1</v>
      </c>
      <c r="U625" s="21">
        <v>1414.5619999999999</v>
      </c>
      <c r="V625" s="21">
        <v>703</v>
      </c>
      <c r="W625" s="21">
        <v>49.540999999999997</v>
      </c>
    </row>
    <row r="626" spans="2:23" x14ac:dyDescent="0.3">
      <c r="B626" s="21">
        <v>14600</v>
      </c>
      <c r="C626" s="21">
        <v>0.75</v>
      </c>
      <c r="D626" s="21">
        <v>0.1</v>
      </c>
      <c r="E626" s="21">
        <v>1432.2336</v>
      </c>
      <c r="F626" s="21">
        <v>703</v>
      </c>
      <c r="G626" s="21">
        <v>50.561700000000002</v>
      </c>
      <c r="J626" s="21">
        <v>14600</v>
      </c>
      <c r="K626" s="21">
        <v>0.75</v>
      </c>
      <c r="L626" s="21">
        <v>0.1</v>
      </c>
      <c r="M626" s="21">
        <v>1416.3670999999999</v>
      </c>
      <c r="N626" s="21">
        <v>703</v>
      </c>
      <c r="O626" s="21">
        <v>49.643500000000003</v>
      </c>
      <c r="R626" s="21">
        <v>14600</v>
      </c>
      <c r="S626" s="21">
        <v>0.75</v>
      </c>
      <c r="T626" s="21">
        <v>0.1</v>
      </c>
      <c r="U626" s="21">
        <v>1414.4105999999999</v>
      </c>
      <c r="V626" s="21">
        <v>703</v>
      </c>
      <c r="W626" s="21">
        <v>49.532400000000003</v>
      </c>
    </row>
    <row r="627" spans="2:23" x14ac:dyDescent="0.3">
      <c r="B627" s="21">
        <v>14800</v>
      </c>
      <c r="C627" s="21">
        <v>0.75</v>
      </c>
      <c r="D627" s="21">
        <v>0.1</v>
      </c>
      <c r="E627" s="21">
        <v>1432.1383000000001</v>
      </c>
      <c r="F627" s="21">
        <v>703</v>
      </c>
      <c r="G627" s="21">
        <v>50.556100000000001</v>
      </c>
      <c r="J627" s="21">
        <v>14800</v>
      </c>
      <c r="K627" s="21">
        <v>0.75</v>
      </c>
      <c r="L627" s="21">
        <v>0.1</v>
      </c>
      <c r="M627" s="21">
        <v>1416.2427</v>
      </c>
      <c r="N627" s="21">
        <v>703</v>
      </c>
      <c r="O627" s="21">
        <v>49.636400000000002</v>
      </c>
      <c r="R627" s="21">
        <v>14800</v>
      </c>
      <c r="S627" s="21">
        <v>0.75</v>
      </c>
      <c r="T627" s="21">
        <v>0.1</v>
      </c>
      <c r="U627" s="21">
        <v>1414.2763</v>
      </c>
      <c r="V627" s="21">
        <v>703</v>
      </c>
      <c r="W627" s="21">
        <v>49.524799999999999</v>
      </c>
    </row>
    <row r="628" spans="2:23" x14ac:dyDescent="0.3">
      <c r="B628" s="21">
        <v>15000</v>
      </c>
      <c r="C628" s="21">
        <v>0.75</v>
      </c>
      <c r="D628" s="21">
        <v>0.1</v>
      </c>
      <c r="E628" s="21">
        <v>1432.0754999999999</v>
      </c>
      <c r="F628" s="21">
        <v>703</v>
      </c>
      <c r="G628" s="21">
        <v>50.552399999999999</v>
      </c>
      <c r="J628" s="21">
        <v>15000</v>
      </c>
      <c r="K628" s="21">
        <v>0.75</v>
      </c>
      <c r="L628" s="21">
        <v>0.1</v>
      </c>
      <c r="M628" s="21">
        <v>1416.1387</v>
      </c>
      <c r="N628" s="21">
        <v>703</v>
      </c>
      <c r="O628" s="21">
        <v>49.630499999999998</v>
      </c>
      <c r="R628" s="21">
        <v>15000</v>
      </c>
      <c r="S628" s="21">
        <v>0.75</v>
      </c>
      <c r="T628" s="21">
        <v>0.1</v>
      </c>
      <c r="U628" s="21">
        <v>1414.1632999999999</v>
      </c>
      <c r="V628" s="21">
        <v>703</v>
      </c>
      <c r="W628" s="21">
        <v>49.5184</v>
      </c>
    </row>
    <row r="629" spans="2:23" x14ac:dyDescent="0.3">
      <c r="B629" s="21">
        <v>15200</v>
      </c>
      <c r="C629" s="21">
        <v>0.75</v>
      </c>
      <c r="D629" s="21">
        <v>0.1</v>
      </c>
      <c r="E629" s="21">
        <v>1432.0128999999999</v>
      </c>
      <c r="F629" s="21">
        <v>703</v>
      </c>
      <c r="G629" s="21">
        <v>50.548699999999997</v>
      </c>
      <c r="J629" s="21">
        <v>15200</v>
      </c>
      <c r="K629" s="21">
        <v>0.75</v>
      </c>
      <c r="L629" s="21">
        <v>0.1</v>
      </c>
      <c r="M629" s="21">
        <v>1416.0382999999999</v>
      </c>
      <c r="N629" s="21">
        <v>703</v>
      </c>
      <c r="O629" s="21">
        <v>49.6248</v>
      </c>
      <c r="R629" s="21">
        <v>15200</v>
      </c>
      <c r="S629" s="21">
        <v>0.75</v>
      </c>
      <c r="T629" s="21">
        <v>0.1</v>
      </c>
      <c r="U629" s="21">
        <v>1414.0682999999999</v>
      </c>
      <c r="V629" s="21">
        <v>703</v>
      </c>
      <c r="W629" s="21">
        <v>49.512999999999998</v>
      </c>
    </row>
    <row r="630" spans="2:23" x14ac:dyDescent="0.3">
      <c r="B630" s="21">
        <v>15400</v>
      </c>
      <c r="C630" s="21">
        <v>0.75</v>
      </c>
      <c r="D630" s="21">
        <v>0.1</v>
      </c>
      <c r="E630" s="21">
        <v>1431.9504999999999</v>
      </c>
      <c r="F630" s="21">
        <v>703</v>
      </c>
      <c r="G630" s="21">
        <v>50.545099999999998</v>
      </c>
      <c r="J630" s="21">
        <v>15400</v>
      </c>
      <c r="K630" s="21">
        <v>0.75</v>
      </c>
      <c r="L630" s="21">
        <v>0.1</v>
      </c>
      <c r="M630" s="21">
        <v>1415.9549</v>
      </c>
      <c r="N630" s="21">
        <v>703</v>
      </c>
      <c r="O630" s="21">
        <v>49.620100000000001</v>
      </c>
      <c r="R630" s="21">
        <v>15400</v>
      </c>
      <c r="S630" s="21">
        <v>0.75</v>
      </c>
      <c r="T630" s="21">
        <v>0.1</v>
      </c>
      <c r="U630" s="21">
        <v>1413.9827</v>
      </c>
      <c r="V630" s="21">
        <v>703</v>
      </c>
      <c r="W630" s="21">
        <v>49.508200000000002</v>
      </c>
    </row>
    <row r="631" spans="2:23" x14ac:dyDescent="0.3">
      <c r="B631" s="21">
        <v>15600</v>
      </c>
      <c r="C631" s="21">
        <v>0.75</v>
      </c>
      <c r="D631" s="21">
        <v>0.1</v>
      </c>
      <c r="E631" s="21">
        <v>1431.9179999999999</v>
      </c>
      <c r="F631" s="21">
        <v>703</v>
      </c>
      <c r="G631" s="21">
        <v>50.543199999999999</v>
      </c>
      <c r="J631" s="21">
        <v>15600</v>
      </c>
      <c r="K631" s="21">
        <v>0.75</v>
      </c>
      <c r="L631" s="21">
        <v>0.1</v>
      </c>
      <c r="M631" s="21">
        <v>1415.8893</v>
      </c>
      <c r="N631" s="21">
        <v>703</v>
      </c>
      <c r="O631" s="21">
        <v>49.616300000000003</v>
      </c>
      <c r="R631" s="21">
        <v>15600</v>
      </c>
      <c r="S631" s="21">
        <v>0.75</v>
      </c>
      <c r="T631" s="21">
        <v>0.1</v>
      </c>
      <c r="U631" s="21">
        <v>1413.9122</v>
      </c>
      <c r="V631" s="21">
        <v>703</v>
      </c>
      <c r="W631" s="21">
        <v>49.504199999999997</v>
      </c>
    </row>
    <row r="632" spans="2:23" x14ac:dyDescent="0.3">
      <c r="B632" s="21">
        <v>15800</v>
      </c>
      <c r="C632" s="21">
        <v>0.75</v>
      </c>
      <c r="D632" s="21">
        <v>0.1</v>
      </c>
      <c r="E632" s="21">
        <v>1431.8856000000001</v>
      </c>
      <c r="F632" s="21">
        <v>703</v>
      </c>
      <c r="G632" s="21">
        <v>50.5413</v>
      </c>
      <c r="J632" s="21">
        <v>15800</v>
      </c>
      <c r="K632" s="21">
        <v>0.75</v>
      </c>
      <c r="L632" s="21">
        <v>0.1</v>
      </c>
      <c r="M632" s="21">
        <v>1415.8253</v>
      </c>
      <c r="N632" s="21">
        <v>703</v>
      </c>
      <c r="O632" s="21">
        <v>49.612699999999997</v>
      </c>
      <c r="R632" s="21">
        <v>15800</v>
      </c>
      <c r="S632" s="21">
        <v>0.75</v>
      </c>
      <c r="T632" s="21">
        <v>0.1</v>
      </c>
      <c r="U632" s="21">
        <v>1413.8480999999999</v>
      </c>
      <c r="V632" s="21">
        <v>703</v>
      </c>
      <c r="W632" s="21">
        <v>49.500599999999999</v>
      </c>
    </row>
    <row r="633" spans="2:23" x14ac:dyDescent="0.3">
      <c r="B633" s="21">
        <v>16000</v>
      </c>
      <c r="C633" s="21">
        <v>0.75</v>
      </c>
      <c r="D633" s="21">
        <v>0.1</v>
      </c>
      <c r="E633" s="21">
        <v>1431.8533</v>
      </c>
      <c r="F633" s="21">
        <v>703</v>
      </c>
      <c r="G633" s="21">
        <v>50.539400000000001</v>
      </c>
      <c r="J633" s="21">
        <v>16000</v>
      </c>
      <c r="K633" s="21">
        <v>0.75</v>
      </c>
      <c r="L633" s="21">
        <v>0.1</v>
      </c>
      <c r="M633" s="21">
        <v>1415.7765999999999</v>
      </c>
      <c r="N633" s="21">
        <v>703</v>
      </c>
      <c r="O633" s="21">
        <v>49.609900000000003</v>
      </c>
      <c r="R633" s="21">
        <v>16000</v>
      </c>
      <c r="S633" s="21">
        <v>0.75</v>
      </c>
      <c r="T633" s="21">
        <v>0.1</v>
      </c>
      <c r="U633" s="21">
        <v>1413.7954999999999</v>
      </c>
      <c r="V633" s="21">
        <v>703</v>
      </c>
      <c r="W633" s="21">
        <v>49.497599999999998</v>
      </c>
    </row>
    <row r="634" spans="2:23" x14ac:dyDescent="0.3">
      <c r="B634" s="21">
        <v>16200</v>
      </c>
      <c r="C634" s="21">
        <v>0.75</v>
      </c>
      <c r="D634" s="21">
        <v>0.1</v>
      </c>
      <c r="E634" s="21">
        <v>1431.8209999999999</v>
      </c>
      <c r="F634" s="21">
        <v>703</v>
      </c>
      <c r="G634" s="21">
        <v>50.537500000000001</v>
      </c>
      <c r="J634" s="21">
        <v>16200</v>
      </c>
      <c r="K634" s="21">
        <v>0.75</v>
      </c>
      <c r="L634" s="21">
        <v>0.1</v>
      </c>
      <c r="M634" s="21">
        <v>1415.7288000000001</v>
      </c>
      <c r="N634" s="21">
        <v>703</v>
      </c>
      <c r="O634" s="21">
        <v>49.607199999999999</v>
      </c>
      <c r="R634" s="21">
        <v>16200</v>
      </c>
      <c r="S634" s="21">
        <v>0.75</v>
      </c>
      <c r="T634" s="21">
        <v>0.1</v>
      </c>
      <c r="U634" s="21">
        <v>1413.7472</v>
      </c>
      <c r="V634" s="21">
        <v>703</v>
      </c>
      <c r="W634" s="21">
        <v>49.494900000000001</v>
      </c>
    </row>
    <row r="635" spans="2:23" x14ac:dyDescent="0.3">
      <c r="B635" s="21">
        <v>16400</v>
      </c>
      <c r="C635" s="21">
        <v>0.75</v>
      </c>
      <c r="D635" s="21">
        <v>0.1</v>
      </c>
      <c r="E635" s="21">
        <v>1431.7887000000001</v>
      </c>
      <c r="F635" s="21">
        <v>703</v>
      </c>
      <c r="G635" s="21">
        <v>50.535600000000002</v>
      </c>
      <c r="J635" s="21">
        <v>16400</v>
      </c>
      <c r="K635" s="21">
        <v>0.75</v>
      </c>
      <c r="L635" s="21">
        <v>0.1</v>
      </c>
      <c r="M635" s="21">
        <v>1415.6974</v>
      </c>
      <c r="N635" s="21">
        <v>703</v>
      </c>
      <c r="O635" s="21">
        <v>49.605400000000003</v>
      </c>
      <c r="R635" s="21">
        <v>16400</v>
      </c>
      <c r="S635" s="21">
        <v>0.75</v>
      </c>
      <c r="T635" s="21">
        <v>0.1</v>
      </c>
      <c r="U635" s="21">
        <v>1413.7093</v>
      </c>
      <c r="V635" s="21">
        <v>703</v>
      </c>
      <c r="W635" s="21">
        <v>49.492699999999999</v>
      </c>
    </row>
    <row r="636" spans="2:23" x14ac:dyDescent="0.3">
      <c r="B636" s="21">
        <v>16600</v>
      </c>
      <c r="C636" s="21">
        <v>0.75</v>
      </c>
      <c r="D636" s="21">
        <v>0.1</v>
      </c>
      <c r="E636" s="21">
        <v>1431.7874999999999</v>
      </c>
      <c r="F636" s="21">
        <v>703</v>
      </c>
      <c r="G636" s="21">
        <v>50.535499999999999</v>
      </c>
      <c r="J636" s="21">
        <v>16600</v>
      </c>
      <c r="K636" s="21">
        <v>0.75</v>
      </c>
      <c r="L636" s="21">
        <v>0.1</v>
      </c>
      <c r="M636" s="21">
        <v>1415.6663000000001</v>
      </c>
      <c r="N636" s="21">
        <v>703</v>
      </c>
      <c r="O636" s="21">
        <v>49.603700000000003</v>
      </c>
      <c r="R636" s="21">
        <v>16600</v>
      </c>
      <c r="S636" s="21">
        <v>0.75</v>
      </c>
      <c r="T636" s="21">
        <v>0.1</v>
      </c>
      <c r="U636" s="21">
        <v>1413.674</v>
      </c>
      <c r="V636" s="21">
        <v>703</v>
      </c>
      <c r="W636" s="21">
        <v>49.490699999999997</v>
      </c>
    </row>
    <row r="637" spans="2:23" x14ac:dyDescent="0.3">
      <c r="B637" s="21">
        <v>16800</v>
      </c>
      <c r="C637" s="21">
        <v>0.75</v>
      </c>
      <c r="D637" s="21">
        <v>0.1</v>
      </c>
      <c r="E637" s="21">
        <v>1431.7863</v>
      </c>
      <c r="F637" s="21">
        <v>703</v>
      </c>
      <c r="G637" s="21">
        <v>50.535400000000003</v>
      </c>
      <c r="J637" s="21">
        <v>16800</v>
      </c>
      <c r="K637" s="21">
        <v>0.75</v>
      </c>
      <c r="L637" s="21">
        <v>0.1</v>
      </c>
      <c r="M637" s="21">
        <v>1415.6356000000001</v>
      </c>
      <c r="N637" s="21">
        <v>703</v>
      </c>
      <c r="O637" s="21">
        <v>49.601900000000001</v>
      </c>
      <c r="R637" s="21">
        <v>16800</v>
      </c>
      <c r="S637" s="21">
        <v>0.75</v>
      </c>
      <c r="T637" s="21">
        <v>0.1</v>
      </c>
      <c r="U637" s="21">
        <v>1413.6469999999999</v>
      </c>
      <c r="V637" s="21">
        <v>703</v>
      </c>
      <c r="W637" s="21">
        <v>49.489199999999997</v>
      </c>
    </row>
    <row r="638" spans="2:23" x14ac:dyDescent="0.3">
      <c r="B638" s="21">
        <v>17000</v>
      </c>
      <c r="C638" s="21">
        <v>0.75</v>
      </c>
      <c r="D638" s="21">
        <v>0.1</v>
      </c>
      <c r="E638" s="21">
        <v>1431.7851000000001</v>
      </c>
      <c r="F638" s="21">
        <v>703</v>
      </c>
      <c r="G638" s="21">
        <v>50.535299999999999</v>
      </c>
      <c r="J638" s="21">
        <v>17000</v>
      </c>
      <c r="K638" s="21">
        <v>0.75</v>
      </c>
      <c r="L638" s="21">
        <v>0.1</v>
      </c>
      <c r="M638" s="21">
        <v>1415.6052999999999</v>
      </c>
      <c r="N638" s="21">
        <v>703</v>
      </c>
      <c r="O638" s="21">
        <v>49.600200000000001</v>
      </c>
      <c r="R638" s="21">
        <v>17000</v>
      </c>
      <c r="S638" s="21">
        <v>0.75</v>
      </c>
      <c r="T638" s="21">
        <v>0.1</v>
      </c>
      <c r="U638" s="21">
        <v>1413.6215</v>
      </c>
      <c r="V638" s="21">
        <v>703</v>
      </c>
      <c r="W638" s="21">
        <v>49.4878</v>
      </c>
    </row>
    <row r="639" spans="2:23" x14ac:dyDescent="0.3">
      <c r="B639" s="21">
        <v>17200</v>
      </c>
      <c r="C639" s="21">
        <v>0.75</v>
      </c>
      <c r="D639" s="21">
        <v>0.1</v>
      </c>
      <c r="E639" s="21">
        <v>1431.7838999999999</v>
      </c>
      <c r="F639" s="21">
        <v>703</v>
      </c>
      <c r="G639" s="21">
        <v>50.535299999999999</v>
      </c>
      <c r="J639" s="21">
        <v>17200</v>
      </c>
      <c r="K639" s="21">
        <v>0.75</v>
      </c>
      <c r="L639" s="21">
        <v>0.1</v>
      </c>
      <c r="M639" s="21">
        <v>1415.5891999999999</v>
      </c>
      <c r="N639" s="21">
        <v>703</v>
      </c>
      <c r="O639" s="21">
        <v>49.599299999999999</v>
      </c>
      <c r="R639" s="21">
        <v>17200</v>
      </c>
      <c r="S639" s="21">
        <v>0.75</v>
      </c>
      <c r="T639" s="21">
        <v>0.1</v>
      </c>
      <c r="U639" s="21">
        <v>1413.6042</v>
      </c>
      <c r="V639" s="21">
        <v>703</v>
      </c>
      <c r="W639" s="21">
        <v>49.486800000000002</v>
      </c>
    </row>
    <row r="640" spans="2:23" x14ac:dyDescent="0.3">
      <c r="B640" s="21">
        <v>17400</v>
      </c>
      <c r="C640" s="21">
        <v>0.75</v>
      </c>
      <c r="D640" s="21">
        <v>0.1</v>
      </c>
      <c r="E640" s="21">
        <v>1431.7827</v>
      </c>
      <c r="F640" s="21">
        <v>703</v>
      </c>
      <c r="G640" s="21">
        <v>50.535200000000003</v>
      </c>
      <c r="J640" s="21">
        <v>17400</v>
      </c>
      <c r="K640" s="21">
        <v>0.75</v>
      </c>
      <c r="L640" s="21">
        <v>0.1</v>
      </c>
      <c r="M640" s="21">
        <v>1415.5733</v>
      </c>
      <c r="N640" s="21">
        <v>703</v>
      </c>
      <c r="O640" s="21">
        <v>49.598399999999998</v>
      </c>
      <c r="R640" s="21">
        <v>17400</v>
      </c>
      <c r="S640" s="21">
        <v>0.75</v>
      </c>
      <c r="T640" s="21">
        <v>0.1</v>
      </c>
      <c r="U640" s="21">
        <v>1413.5879</v>
      </c>
      <c r="V640" s="21">
        <v>703</v>
      </c>
      <c r="W640" s="21">
        <v>49.485900000000001</v>
      </c>
    </row>
    <row r="641" spans="2:23" x14ac:dyDescent="0.3">
      <c r="B641" s="21">
        <v>17600</v>
      </c>
      <c r="C641" s="21">
        <v>0.75</v>
      </c>
      <c r="D641" s="21">
        <v>0.1</v>
      </c>
      <c r="E641" s="21">
        <v>1431.7815000000001</v>
      </c>
      <c r="F641" s="21">
        <v>703</v>
      </c>
      <c r="G641" s="21">
        <v>50.5351</v>
      </c>
      <c r="J641" s="21">
        <v>17600</v>
      </c>
      <c r="K641" s="21">
        <v>0.75</v>
      </c>
      <c r="L641" s="21">
        <v>0.1</v>
      </c>
      <c r="M641" s="21">
        <v>1415.5573999999999</v>
      </c>
      <c r="N641" s="21">
        <v>703</v>
      </c>
      <c r="O641" s="21">
        <v>49.597499999999997</v>
      </c>
      <c r="R641" s="21">
        <v>17600</v>
      </c>
      <c r="S641" s="21">
        <v>0.75</v>
      </c>
      <c r="T641" s="21">
        <v>0.1</v>
      </c>
      <c r="U641" s="21">
        <v>1413.5723</v>
      </c>
      <c r="V641" s="21">
        <v>703</v>
      </c>
      <c r="W641" s="21">
        <v>49.484999999999999</v>
      </c>
    </row>
    <row r="642" spans="2:23" x14ac:dyDescent="0.3">
      <c r="B642" s="21">
        <v>17800</v>
      </c>
      <c r="C642" s="21">
        <v>0.75</v>
      </c>
      <c r="D642" s="21">
        <v>0.1</v>
      </c>
      <c r="E642" s="21">
        <v>1431.7802999999999</v>
      </c>
      <c r="F642" s="21">
        <v>703</v>
      </c>
      <c r="G642" s="21">
        <v>50.5351</v>
      </c>
      <c r="J642" s="21">
        <v>17800</v>
      </c>
      <c r="K642" s="21">
        <v>0.75</v>
      </c>
      <c r="L642" s="21">
        <v>0.1</v>
      </c>
      <c r="M642" s="21">
        <v>1415.5417</v>
      </c>
      <c r="N642" s="21">
        <v>703</v>
      </c>
      <c r="O642" s="21">
        <v>49.596600000000002</v>
      </c>
      <c r="R642" s="21">
        <v>17800</v>
      </c>
      <c r="S642" s="21">
        <v>0.75</v>
      </c>
      <c r="T642" s="21">
        <v>0.1</v>
      </c>
      <c r="U642" s="21">
        <v>1413.5572999999999</v>
      </c>
      <c r="V642" s="21">
        <v>703</v>
      </c>
      <c r="W642" s="21">
        <v>49.484099999999998</v>
      </c>
    </row>
    <row r="643" spans="2:23" x14ac:dyDescent="0.3">
      <c r="B643" s="21">
        <v>18000</v>
      </c>
      <c r="C643" s="21">
        <v>0.75</v>
      </c>
      <c r="D643" s="21">
        <v>0.1</v>
      </c>
      <c r="E643" s="21">
        <v>1431.7791</v>
      </c>
      <c r="F643" s="21">
        <v>703</v>
      </c>
      <c r="G643" s="21">
        <v>50.534999999999997</v>
      </c>
      <c r="J643" s="21">
        <v>18000</v>
      </c>
      <c r="K643" s="21">
        <v>0.75</v>
      </c>
      <c r="L643" s="21">
        <v>0.1</v>
      </c>
      <c r="M643" s="21">
        <v>1415.5260000000001</v>
      </c>
      <c r="N643" s="21">
        <v>703</v>
      </c>
      <c r="O643" s="21">
        <v>49.595700000000001</v>
      </c>
      <c r="R643" s="21">
        <v>18000</v>
      </c>
      <c r="S643" s="21">
        <v>0.75</v>
      </c>
      <c r="T643" s="21">
        <v>0.1</v>
      </c>
      <c r="U643" s="21">
        <v>1413.549</v>
      </c>
      <c r="V643" s="21">
        <v>703</v>
      </c>
      <c r="W643" s="21">
        <v>49.483699999999999</v>
      </c>
    </row>
    <row r="644" spans="2:23" x14ac:dyDescent="0.3">
      <c r="B644" s="21">
        <v>18200</v>
      </c>
      <c r="C644" s="21">
        <v>0.75</v>
      </c>
      <c r="D644" s="21">
        <v>0.1</v>
      </c>
      <c r="E644" s="21">
        <v>1431.7779</v>
      </c>
      <c r="F644" s="21">
        <v>703</v>
      </c>
      <c r="G644" s="21">
        <v>50.5349</v>
      </c>
      <c r="J644" s="21">
        <v>18200</v>
      </c>
      <c r="K644" s="21">
        <v>0.75</v>
      </c>
      <c r="L644" s="21">
        <v>0.1</v>
      </c>
      <c r="M644" s="21">
        <v>1415.5105000000001</v>
      </c>
      <c r="N644" s="21">
        <v>703</v>
      </c>
      <c r="O644" s="21">
        <v>49.594799999999999</v>
      </c>
      <c r="R644" s="21">
        <v>18200</v>
      </c>
      <c r="S644" s="21">
        <v>0.75</v>
      </c>
      <c r="T644" s="21">
        <v>0.1</v>
      </c>
      <c r="U644" s="21">
        <v>1413.5409</v>
      </c>
      <c r="V644" s="21">
        <v>703</v>
      </c>
      <c r="W644" s="21">
        <v>49.483199999999997</v>
      </c>
    </row>
    <row r="645" spans="2:23" x14ac:dyDescent="0.3">
      <c r="B645" s="21">
        <v>18400</v>
      </c>
      <c r="C645" s="21">
        <v>0.75</v>
      </c>
      <c r="D645" s="21">
        <v>0.1</v>
      </c>
      <c r="E645" s="21">
        <v>1431.7766999999999</v>
      </c>
      <c r="F645" s="21">
        <v>703</v>
      </c>
      <c r="G645" s="21">
        <v>50.534799999999997</v>
      </c>
      <c r="J645" s="21">
        <v>18400</v>
      </c>
      <c r="K645" s="21">
        <v>0.75</v>
      </c>
      <c r="L645" s="21">
        <v>0.1</v>
      </c>
      <c r="M645" s="21">
        <v>1415.5099</v>
      </c>
      <c r="N645" s="21">
        <v>703</v>
      </c>
      <c r="O645" s="21">
        <v>49.594799999999999</v>
      </c>
      <c r="R645" s="21">
        <v>18400</v>
      </c>
      <c r="S645" s="21">
        <v>0.75</v>
      </c>
      <c r="T645" s="21">
        <v>0.1</v>
      </c>
      <c r="U645" s="21">
        <v>1413.5329999999999</v>
      </c>
      <c r="V645" s="21">
        <v>703</v>
      </c>
      <c r="W645" s="21">
        <v>49.482799999999997</v>
      </c>
    </row>
    <row r="646" spans="2:23" x14ac:dyDescent="0.3">
      <c r="K646" s="2"/>
      <c r="L646" s="2"/>
      <c r="M646" s="2"/>
      <c r="N646" s="2"/>
      <c r="O646" s="2"/>
      <c r="S646" s="2"/>
      <c r="T646" s="2"/>
      <c r="U646" s="2"/>
      <c r="V646" s="2"/>
      <c r="W646" s="2"/>
    </row>
    <row r="647" spans="2:23" x14ac:dyDescent="0.3">
      <c r="K647" s="2"/>
      <c r="L647" s="2"/>
      <c r="M647" s="2"/>
      <c r="N647" s="2"/>
      <c r="O647" s="2"/>
      <c r="S647" s="2"/>
      <c r="T647" s="2"/>
      <c r="U647" s="2"/>
      <c r="V647" s="2"/>
      <c r="W647" s="2"/>
    </row>
    <row r="648" spans="2:23" ht="16.2" thickBot="1" x14ac:dyDescent="0.35">
      <c r="B648" s="1" t="s">
        <v>19</v>
      </c>
      <c r="C648" s="42" t="s">
        <v>20</v>
      </c>
      <c r="D648" s="42"/>
      <c r="E648" s="42"/>
      <c r="J648" s="1" t="s">
        <v>19</v>
      </c>
      <c r="K648" s="42" t="s">
        <v>21</v>
      </c>
      <c r="L648" s="42"/>
      <c r="M648" s="42"/>
      <c r="N648" s="2"/>
      <c r="O648" s="2"/>
      <c r="R648" s="1" t="s">
        <v>19</v>
      </c>
      <c r="S648" s="42" t="s">
        <v>22</v>
      </c>
      <c r="T648" s="42"/>
      <c r="U648" s="42"/>
      <c r="V648" s="2"/>
      <c r="W648" s="2"/>
    </row>
    <row r="649" spans="2:23" x14ac:dyDescent="0.3">
      <c r="B649" s="3"/>
      <c r="C649" s="31" t="s">
        <v>6</v>
      </c>
      <c r="D649" s="30" t="s">
        <v>7</v>
      </c>
      <c r="E649" s="28"/>
      <c r="J649" s="3"/>
      <c r="K649" s="31" t="s">
        <v>6</v>
      </c>
      <c r="L649" s="30" t="s">
        <v>7</v>
      </c>
      <c r="M649" s="28"/>
      <c r="N649" s="2"/>
      <c r="O649" s="2"/>
      <c r="R649" s="3"/>
      <c r="S649" s="31" t="s">
        <v>6</v>
      </c>
      <c r="T649" s="30" t="s">
        <v>7</v>
      </c>
      <c r="U649" s="28"/>
      <c r="V649" s="2"/>
      <c r="W649" s="2"/>
    </row>
    <row r="650" spans="2:23" ht="16.2" thickBot="1" x14ac:dyDescent="0.35">
      <c r="B650" s="25" t="s">
        <v>13</v>
      </c>
      <c r="C650" s="33">
        <v>241</v>
      </c>
      <c r="D650" s="34">
        <v>241</v>
      </c>
      <c r="E650" s="29"/>
      <c r="J650" s="25" t="s">
        <v>13</v>
      </c>
      <c r="K650" s="33">
        <v>121</v>
      </c>
      <c r="L650" s="34">
        <v>121</v>
      </c>
      <c r="M650" s="29"/>
      <c r="N650" s="2"/>
      <c r="O650" s="2"/>
      <c r="R650" s="25" t="s">
        <v>13</v>
      </c>
      <c r="S650" s="33">
        <v>61</v>
      </c>
      <c r="T650" s="34">
        <v>61</v>
      </c>
      <c r="U650" s="29"/>
      <c r="V650" s="2"/>
      <c r="W650" s="2"/>
    </row>
    <row r="651" spans="2:23" x14ac:dyDescent="0.3">
      <c r="B651" s="26" t="s">
        <v>14</v>
      </c>
      <c r="C651" s="35">
        <v>200</v>
      </c>
      <c r="D651" s="32"/>
      <c r="E651" s="29"/>
      <c r="J651" s="26" t="s">
        <v>14</v>
      </c>
      <c r="K651" s="35">
        <v>200</v>
      </c>
      <c r="L651" s="32"/>
      <c r="M651" s="29"/>
      <c r="N651" s="2"/>
      <c r="O651" s="2"/>
      <c r="R651" s="26" t="s">
        <v>14</v>
      </c>
      <c r="S651" s="35">
        <v>200</v>
      </c>
      <c r="T651" s="32"/>
      <c r="U651" s="29"/>
      <c r="V651" s="2"/>
      <c r="W651" s="2"/>
    </row>
    <row r="652" spans="2:23" ht="16.2" thickBot="1" x14ac:dyDescent="0.35">
      <c r="B652" s="26" t="s">
        <v>15</v>
      </c>
      <c r="C652" s="21" t="s">
        <v>12</v>
      </c>
      <c r="D652" s="32"/>
      <c r="E652" s="29"/>
      <c r="J652" s="26" t="s">
        <v>15</v>
      </c>
      <c r="K652" s="21" t="s">
        <v>12</v>
      </c>
      <c r="L652" s="32"/>
      <c r="M652" s="29"/>
      <c r="N652" s="2"/>
      <c r="O652" s="2"/>
      <c r="R652" s="26" t="s">
        <v>15</v>
      </c>
      <c r="S652" s="21" t="s">
        <v>12</v>
      </c>
      <c r="T652" s="32"/>
      <c r="U652" s="29"/>
      <c r="V652" s="2"/>
      <c r="W652" s="2"/>
    </row>
    <row r="653" spans="2:23" x14ac:dyDescent="0.3">
      <c r="B653" s="26" t="s">
        <v>16</v>
      </c>
      <c r="C653" s="36">
        <v>1E-3</v>
      </c>
      <c r="D653" s="31" t="s">
        <v>6</v>
      </c>
      <c r="E653" s="30" t="s">
        <v>7</v>
      </c>
      <c r="J653" s="26" t="s">
        <v>16</v>
      </c>
      <c r="K653" s="36">
        <v>1E-3</v>
      </c>
      <c r="L653" s="31" t="s">
        <v>6</v>
      </c>
      <c r="M653" s="30" t="s">
        <v>7</v>
      </c>
      <c r="N653" s="2"/>
      <c r="O653" s="2"/>
      <c r="R653" s="26" t="s">
        <v>16</v>
      </c>
      <c r="S653" s="36">
        <v>1E-3</v>
      </c>
      <c r="T653" s="31" t="s">
        <v>6</v>
      </c>
      <c r="U653" s="30" t="s">
        <v>7</v>
      </c>
      <c r="V653" s="2"/>
      <c r="W653" s="2"/>
    </row>
    <row r="654" spans="2:23" ht="16.2" thickBot="1" x14ac:dyDescent="0.35">
      <c r="B654" s="27" t="s">
        <v>18</v>
      </c>
      <c r="C654" s="37">
        <v>7</v>
      </c>
      <c r="D654" s="23">
        <f>VLOOKUP(C654,$J$4:$L$12,2,FALSE)</f>
        <v>0.25</v>
      </c>
      <c r="E654" s="24">
        <f>VLOOKUP(C654,$J$4:$L$12,3,FALSE)</f>
        <v>0.05</v>
      </c>
      <c r="J654" s="27" t="s">
        <v>18</v>
      </c>
      <c r="K654" s="37">
        <v>7</v>
      </c>
      <c r="L654" s="23">
        <f>VLOOKUP(K654,$J$4:$L$12,2,FALSE)</f>
        <v>0.25</v>
      </c>
      <c r="M654" s="24">
        <f>VLOOKUP(K654,$J$4:$L$12,3,FALSE)</f>
        <v>0.05</v>
      </c>
      <c r="N654" s="2"/>
      <c r="O654" s="2"/>
      <c r="R654" s="27" t="s">
        <v>18</v>
      </c>
      <c r="S654" s="37">
        <v>7</v>
      </c>
      <c r="T654" s="23">
        <f>VLOOKUP(S654,$J$4:$L$12,2,FALSE)</f>
        <v>0.25</v>
      </c>
      <c r="U654" s="24">
        <f>VLOOKUP(S654,$J$4:$L$12,3,FALSE)</f>
        <v>0.05</v>
      </c>
      <c r="V654" s="2"/>
      <c r="W654" s="2"/>
    </row>
    <row r="655" spans="2:23" x14ac:dyDescent="0.3">
      <c r="K655" s="2"/>
      <c r="L655" s="2"/>
      <c r="M655" s="2"/>
      <c r="N655" s="2"/>
      <c r="O655" s="2"/>
      <c r="S655" s="2"/>
      <c r="T655" s="2"/>
      <c r="U655" s="2"/>
      <c r="V655" s="2"/>
      <c r="W655" s="2"/>
    </row>
    <row r="656" spans="2:23" x14ac:dyDescent="0.3">
      <c r="B656" s="38" t="s">
        <v>0</v>
      </c>
      <c r="C656" s="39" t="s">
        <v>1</v>
      </c>
      <c r="D656" s="39" t="s">
        <v>2</v>
      </c>
      <c r="E656" s="39" t="s">
        <v>3</v>
      </c>
      <c r="F656" s="39" t="s">
        <v>4</v>
      </c>
      <c r="G656" s="39" t="s">
        <v>5</v>
      </c>
      <c r="J656" s="38" t="s">
        <v>0</v>
      </c>
      <c r="K656" s="39" t="s">
        <v>1</v>
      </c>
      <c r="L656" s="39" t="s">
        <v>2</v>
      </c>
      <c r="M656" s="39" t="s">
        <v>3</v>
      </c>
      <c r="N656" s="39" t="s">
        <v>4</v>
      </c>
      <c r="O656" s="39" t="s">
        <v>5</v>
      </c>
      <c r="R656" s="38" t="s">
        <v>0</v>
      </c>
      <c r="S656" s="39" t="s">
        <v>1</v>
      </c>
      <c r="T656" s="39" t="s">
        <v>2</v>
      </c>
      <c r="U656" s="39" t="s">
        <v>3</v>
      </c>
      <c r="V656" s="39" t="s">
        <v>4</v>
      </c>
      <c r="W656" s="39" t="s">
        <v>5</v>
      </c>
    </row>
    <row r="657" spans="2:23" x14ac:dyDescent="0.3">
      <c r="B657" s="21">
        <v>0</v>
      </c>
      <c r="C657" s="21">
        <v>0.25</v>
      </c>
      <c r="D657" s="21">
        <v>0.05</v>
      </c>
      <c r="E657" s="21">
        <v>300</v>
      </c>
      <c r="F657" s="21">
        <v>478.57299999999998</v>
      </c>
      <c r="G657" s="21">
        <v>62.213700000000003</v>
      </c>
      <c r="J657" s="21">
        <v>0</v>
      </c>
      <c r="K657" s="21">
        <v>0.25</v>
      </c>
      <c r="L657" s="21">
        <v>0.05</v>
      </c>
      <c r="M657" s="21">
        <v>300</v>
      </c>
      <c r="N657" s="21">
        <v>478.57299999999998</v>
      </c>
      <c r="O657" s="21">
        <v>62.213700000000003</v>
      </c>
      <c r="R657" s="21">
        <v>0</v>
      </c>
      <c r="S657" s="21">
        <v>0.25</v>
      </c>
      <c r="T657" s="21">
        <v>0.05</v>
      </c>
      <c r="U657" s="21">
        <v>300</v>
      </c>
      <c r="V657" s="21">
        <v>478.57299999999998</v>
      </c>
      <c r="W657" s="21">
        <v>62.213700000000003</v>
      </c>
    </row>
    <row r="658" spans="2:23" x14ac:dyDescent="0.3">
      <c r="B658" s="21">
        <v>200</v>
      </c>
      <c r="C658" s="21">
        <v>0.25</v>
      </c>
      <c r="D658" s="21">
        <v>0.05</v>
      </c>
      <c r="E658" s="21">
        <v>350.35469999999998</v>
      </c>
      <c r="F658" s="21">
        <v>456.7097</v>
      </c>
      <c r="G658" s="21">
        <v>60.262300000000003</v>
      </c>
      <c r="J658" s="21">
        <v>200</v>
      </c>
      <c r="K658" s="21">
        <v>0.25</v>
      </c>
      <c r="L658" s="21">
        <v>0.05</v>
      </c>
      <c r="M658" s="21">
        <v>353.59570000000002</v>
      </c>
      <c r="N658" s="21">
        <v>456.52969999999999</v>
      </c>
      <c r="O658" s="21">
        <v>60.129100000000001</v>
      </c>
      <c r="R658" s="21">
        <v>200</v>
      </c>
      <c r="S658" s="21">
        <v>0.25</v>
      </c>
      <c r="T658" s="21">
        <v>0.05</v>
      </c>
      <c r="U658" s="21">
        <v>354.00470000000001</v>
      </c>
      <c r="V658" s="21">
        <v>456.51589999999999</v>
      </c>
      <c r="W658" s="21">
        <v>60.112200000000001</v>
      </c>
    </row>
    <row r="659" spans="2:23" x14ac:dyDescent="0.3">
      <c r="B659" s="21">
        <v>400</v>
      </c>
      <c r="C659" s="21">
        <v>0.25</v>
      </c>
      <c r="D659" s="21">
        <v>0.05</v>
      </c>
      <c r="E659" s="21">
        <v>409.40309999999999</v>
      </c>
      <c r="F659" s="21">
        <v>469.73469999999998</v>
      </c>
      <c r="G659" s="21">
        <v>57.726199999999999</v>
      </c>
      <c r="J659" s="21">
        <v>400</v>
      </c>
      <c r="K659" s="21">
        <v>0.25</v>
      </c>
      <c r="L659" s="21">
        <v>0.05</v>
      </c>
      <c r="M659" s="21">
        <v>415.32220000000001</v>
      </c>
      <c r="N659" s="21">
        <v>472.5369</v>
      </c>
      <c r="O659" s="21">
        <v>57.461399999999998</v>
      </c>
      <c r="R659" s="21">
        <v>400</v>
      </c>
      <c r="S659" s="21">
        <v>0.25</v>
      </c>
      <c r="T659" s="21">
        <v>0.05</v>
      </c>
      <c r="U659" s="21">
        <v>416.06760000000003</v>
      </c>
      <c r="V659" s="21">
        <v>472.90390000000002</v>
      </c>
      <c r="W659" s="21">
        <v>57.427900000000001</v>
      </c>
    </row>
    <row r="660" spans="2:23" x14ac:dyDescent="0.3">
      <c r="B660" s="21">
        <v>600</v>
      </c>
      <c r="C660" s="21">
        <v>0.25</v>
      </c>
      <c r="D660" s="21">
        <v>0.05</v>
      </c>
      <c r="E660" s="21">
        <v>466.7731</v>
      </c>
      <c r="F660" s="21">
        <v>503.26310000000001</v>
      </c>
      <c r="G660" s="21">
        <v>55.109099999999998</v>
      </c>
      <c r="J660" s="21">
        <v>600</v>
      </c>
      <c r="K660" s="21">
        <v>0.25</v>
      </c>
      <c r="L660" s="21">
        <v>0.05</v>
      </c>
      <c r="M660" s="21">
        <v>474.77260000000001</v>
      </c>
      <c r="N660" s="21">
        <v>508.67899999999997</v>
      </c>
      <c r="O660" s="21">
        <v>54.737900000000003</v>
      </c>
      <c r="R660" s="21">
        <v>600</v>
      </c>
      <c r="S660" s="21">
        <v>0.25</v>
      </c>
      <c r="T660" s="21">
        <v>0.05</v>
      </c>
      <c r="U660" s="21">
        <v>475.77199999999999</v>
      </c>
      <c r="V660" s="21">
        <v>509.36160000000001</v>
      </c>
      <c r="W660" s="21">
        <v>54.691400000000002</v>
      </c>
    </row>
    <row r="661" spans="2:23" x14ac:dyDescent="0.3">
      <c r="B661" s="21">
        <v>800</v>
      </c>
      <c r="C661" s="21">
        <v>0.25</v>
      </c>
      <c r="D661" s="21">
        <v>0.05</v>
      </c>
      <c r="E661" s="21">
        <v>520.45950000000005</v>
      </c>
      <c r="F661" s="21">
        <v>540.24869999999999</v>
      </c>
      <c r="G661" s="21">
        <v>52.610599999999998</v>
      </c>
      <c r="J661" s="21">
        <v>800</v>
      </c>
      <c r="K661" s="21">
        <v>0.25</v>
      </c>
      <c r="L661" s="21">
        <v>0.05</v>
      </c>
      <c r="M661" s="21">
        <v>530.25710000000004</v>
      </c>
      <c r="N661" s="21">
        <v>546.88260000000002</v>
      </c>
      <c r="O661" s="21">
        <v>52.155500000000004</v>
      </c>
      <c r="R661" s="21">
        <v>800</v>
      </c>
      <c r="S661" s="21">
        <v>0.25</v>
      </c>
      <c r="T661" s="21">
        <v>0.05</v>
      </c>
      <c r="U661" s="21">
        <v>531.46699999999998</v>
      </c>
      <c r="V661" s="21">
        <v>547.69330000000002</v>
      </c>
      <c r="W661" s="21">
        <v>52.099299999999999</v>
      </c>
    </row>
    <row r="662" spans="2:23" x14ac:dyDescent="0.3">
      <c r="B662" s="21">
        <v>1000</v>
      </c>
      <c r="C662" s="21">
        <v>0.25</v>
      </c>
      <c r="D662" s="21">
        <v>0.05</v>
      </c>
      <c r="E662" s="21">
        <v>570.76900000000001</v>
      </c>
      <c r="F662" s="21">
        <v>572.62369999999999</v>
      </c>
      <c r="G662" s="21">
        <v>50.2926</v>
      </c>
      <c r="J662" s="21">
        <v>1000</v>
      </c>
      <c r="K662" s="21">
        <v>0.25</v>
      </c>
      <c r="L662" s="21">
        <v>0.05</v>
      </c>
      <c r="M662" s="21">
        <v>582.29229999999995</v>
      </c>
      <c r="N662" s="21">
        <v>579.30330000000004</v>
      </c>
      <c r="O662" s="21">
        <v>49.770899999999997</v>
      </c>
      <c r="R662" s="21">
        <v>1000</v>
      </c>
      <c r="S662" s="21">
        <v>0.25</v>
      </c>
      <c r="T662" s="21">
        <v>0.05</v>
      </c>
      <c r="U662" s="21">
        <v>583.7047</v>
      </c>
      <c r="V662" s="21">
        <v>580.09990000000005</v>
      </c>
      <c r="W662" s="21">
        <v>49.707299999999996</v>
      </c>
    </row>
    <row r="663" spans="2:23" x14ac:dyDescent="0.3">
      <c r="B663" s="21">
        <v>1140</v>
      </c>
      <c r="C663" s="21">
        <v>0.25</v>
      </c>
      <c r="D663" s="21">
        <v>0.05</v>
      </c>
      <c r="E663" s="21">
        <v>604.54570000000001</v>
      </c>
      <c r="F663" s="21">
        <v>591.27059999999994</v>
      </c>
      <c r="G663" s="21">
        <v>48.777700000000003</v>
      </c>
      <c r="J663" s="21">
        <v>1140</v>
      </c>
      <c r="K663" s="21">
        <v>0.25</v>
      </c>
      <c r="L663" s="21">
        <v>0.05</v>
      </c>
      <c r="M663" s="21">
        <v>617.22659999999996</v>
      </c>
      <c r="N663" s="21">
        <v>597.52859999999998</v>
      </c>
      <c r="O663" s="21">
        <v>48.221400000000003</v>
      </c>
      <c r="R663" s="21">
        <v>1140</v>
      </c>
      <c r="S663" s="21">
        <v>0.25</v>
      </c>
      <c r="T663" s="21">
        <v>0.05</v>
      </c>
      <c r="U663" s="21">
        <v>618.77779999999996</v>
      </c>
      <c r="V663" s="21">
        <v>598.26639999999998</v>
      </c>
      <c r="W663" s="21">
        <v>48.1539</v>
      </c>
    </row>
    <row r="664" spans="2:23" x14ac:dyDescent="0.3">
      <c r="B664" s="21">
        <v>1340</v>
      </c>
      <c r="C664" s="21">
        <v>0.25</v>
      </c>
      <c r="D664" s="21">
        <v>0.05</v>
      </c>
      <c r="E664" s="21">
        <v>672.36789999999996</v>
      </c>
      <c r="F664" s="21">
        <v>620.47479999999996</v>
      </c>
      <c r="G664" s="21">
        <v>45.906199999999998</v>
      </c>
      <c r="J664" s="21">
        <v>1340</v>
      </c>
      <c r="K664" s="21">
        <v>0.25</v>
      </c>
      <c r="L664" s="21">
        <v>0.05</v>
      </c>
      <c r="M664" s="21">
        <v>686.44640000000004</v>
      </c>
      <c r="N664" s="21">
        <v>625.49620000000004</v>
      </c>
      <c r="O664" s="21">
        <v>45.347000000000001</v>
      </c>
      <c r="R664" s="21">
        <v>1340</v>
      </c>
      <c r="S664" s="21">
        <v>0.25</v>
      </c>
      <c r="T664" s="21">
        <v>0.05</v>
      </c>
      <c r="U664" s="21">
        <v>688.14689999999996</v>
      </c>
      <c r="V664" s="21">
        <v>626.08929999999998</v>
      </c>
      <c r="W664" s="21">
        <v>45.2804</v>
      </c>
    </row>
    <row r="665" spans="2:23" x14ac:dyDescent="0.3">
      <c r="B665" s="21">
        <v>1540</v>
      </c>
      <c r="C665" s="21">
        <v>0.25</v>
      </c>
      <c r="D665" s="21">
        <v>0.05</v>
      </c>
      <c r="E665" s="21">
        <v>739.66560000000004</v>
      </c>
      <c r="F665" s="21">
        <v>644.06640000000004</v>
      </c>
      <c r="G665" s="21">
        <v>43.374600000000001</v>
      </c>
      <c r="J665" s="21">
        <v>1540</v>
      </c>
      <c r="K665" s="21">
        <v>0.25</v>
      </c>
      <c r="L665" s="21">
        <v>0.05</v>
      </c>
      <c r="M665" s="21">
        <v>754.68129999999996</v>
      </c>
      <c r="N665" s="21">
        <v>649.92719999999997</v>
      </c>
      <c r="O665" s="21">
        <v>42.863</v>
      </c>
      <c r="R665" s="21">
        <v>1540</v>
      </c>
      <c r="S665" s="21">
        <v>0.25</v>
      </c>
      <c r="T665" s="21">
        <v>0.05</v>
      </c>
      <c r="U665" s="21">
        <v>756.48720000000003</v>
      </c>
      <c r="V665" s="21">
        <v>650.67259999999999</v>
      </c>
      <c r="W665" s="21">
        <v>42.802900000000001</v>
      </c>
    </row>
    <row r="666" spans="2:23" x14ac:dyDescent="0.3">
      <c r="B666" s="21">
        <v>1740</v>
      </c>
      <c r="C666" s="21">
        <v>0.25</v>
      </c>
      <c r="D666" s="21">
        <v>0.05</v>
      </c>
      <c r="E666" s="21">
        <v>801.19960000000003</v>
      </c>
      <c r="F666" s="21">
        <v>673.52409999999998</v>
      </c>
      <c r="G666" s="21">
        <v>41.419699999999999</v>
      </c>
      <c r="J666" s="21">
        <v>1740</v>
      </c>
      <c r="K666" s="21">
        <v>0.25</v>
      </c>
      <c r="L666" s="21">
        <v>0.05</v>
      </c>
      <c r="M666" s="21">
        <v>816.41690000000006</v>
      </c>
      <c r="N666" s="21">
        <v>684.02499999999998</v>
      </c>
      <c r="O666" s="21">
        <v>40.997199999999999</v>
      </c>
      <c r="R666" s="21">
        <v>1740</v>
      </c>
      <c r="S666" s="21">
        <v>0.25</v>
      </c>
      <c r="T666" s="21">
        <v>0.05</v>
      </c>
      <c r="U666" s="21">
        <v>818.21709999999996</v>
      </c>
      <c r="V666" s="21">
        <v>685.38779999999997</v>
      </c>
      <c r="W666" s="21">
        <v>40.948900000000002</v>
      </c>
    </row>
    <row r="667" spans="2:23" x14ac:dyDescent="0.3">
      <c r="B667" s="21">
        <v>1940</v>
      </c>
      <c r="C667" s="21">
        <v>0.25</v>
      </c>
      <c r="D667" s="21">
        <v>0.05</v>
      </c>
      <c r="E667" s="21">
        <v>855.22760000000005</v>
      </c>
      <c r="F667" s="21">
        <v>720.40440000000001</v>
      </c>
      <c r="G667" s="21">
        <v>40.038899999999998</v>
      </c>
      <c r="J667" s="21">
        <v>1940</v>
      </c>
      <c r="K667" s="21">
        <v>0.25</v>
      </c>
      <c r="L667" s="21">
        <v>0.05</v>
      </c>
      <c r="M667" s="21">
        <v>870.01220000000001</v>
      </c>
      <c r="N667" s="21">
        <v>738.88890000000004</v>
      </c>
      <c r="O667" s="21">
        <v>39.720999999999997</v>
      </c>
      <c r="R667" s="21">
        <v>1940</v>
      </c>
      <c r="S667" s="21">
        <v>0.25</v>
      </c>
      <c r="T667" s="21">
        <v>0.05</v>
      </c>
      <c r="U667" s="21">
        <v>871.74919999999997</v>
      </c>
      <c r="V667" s="21">
        <v>741.25940000000003</v>
      </c>
      <c r="W667" s="21">
        <v>39.685400000000001</v>
      </c>
    </row>
    <row r="668" spans="2:23" x14ac:dyDescent="0.3">
      <c r="B668" s="21">
        <v>2140</v>
      </c>
      <c r="C668" s="21">
        <v>0.25</v>
      </c>
      <c r="D668" s="21">
        <v>0.05</v>
      </c>
      <c r="E668" s="21">
        <v>901.70669999999996</v>
      </c>
      <c r="F668" s="21">
        <v>789.66480000000001</v>
      </c>
      <c r="G668" s="21">
        <v>39.131500000000003</v>
      </c>
      <c r="J668" s="21">
        <v>2140</v>
      </c>
      <c r="K668" s="21">
        <v>0.25</v>
      </c>
      <c r="L668" s="21">
        <v>0.05</v>
      </c>
      <c r="M668" s="21">
        <v>915.69399999999996</v>
      </c>
      <c r="N668" s="21">
        <v>817.76779999999997</v>
      </c>
      <c r="O668" s="21">
        <v>38.912500000000001</v>
      </c>
      <c r="R668" s="21">
        <v>2140</v>
      </c>
      <c r="S668" s="21">
        <v>0.25</v>
      </c>
      <c r="T668" s="21">
        <v>0.05</v>
      </c>
      <c r="U668" s="21">
        <v>917.33019999999999</v>
      </c>
      <c r="V668" s="21">
        <v>821.31150000000002</v>
      </c>
      <c r="W668" s="21">
        <v>38.888500000000001</v>
      </c>
    </row>
    <row r="669" spans="2:23" x14ac:dyDescent="0.3">
      <c r="B669" s="21">
        <v>2340</v>
      </c>
      <c r="C669" s="21">
        <v>0.25</v>
      </c>
      <c r="D669" s="21">
        <v>0.05</v>
      </c>
      <c r="E669" s="21">
        <v>941.76310000000001</v>
      </c>
      <c r="F669" s="21">
        <v>881.24469999999997</v>
      </c>
      <c r="G669" s="21">
        <v>38.573500000000003</v>
      </c>
      <c r="J669" s="21">
        <v>2340</v>
      </c>
      <c r="K669" s="21">
        <v>0.25</v>
      </c>
      <c r="L669" s="21">
        <v>0.05</v>
      </c>
      <c r="M669" s="21">
        <v>955.07399999999996</v>
      </c>
      <c r="N669" s="21">
        <v>919.94269999999995</v>
      </c>
      <c r="O669" s="21">
        <v>38.435899999999997</v>
      </c>
      <c r="R669" s="21">
        <v>2340</v>
      </c>
      <c r="S669" s="21">
        <v>0.25</v>
      </c>
      <c r="T669" s="21">
        <v>0.05</v>
      </c>
      <c r="U669" s="21">
        <v>956.60149999999999</v>
      </c>
      <c r="V669" s="21">
        <v>924.68010000000004</v>
      </c>
      <c r="W669" s="21">
        <v>38.421700000000001</v>
      </c>
    </row>
    <row r="670" spans="2:23" x14ac:dyDescent="0.3">
      <c r="B670" s="21">
        <v>2540</v>
      </c>
      <c r="C670" s="21">
        <v>0.25</v>
      </c>
      <c r="D670" s="21">
        <v>0.05</v>
      </c>
      <c r="E670" s="21">
        <v>977.10050000000001</v>
      </c>
      <c r="F670" s="21">
        <v>994.60789999999997</v>
      </c>
      <c r="G670" s="21">
        <v>38.2622</v>
      </c>
      <c r="J670" s="21">
        <v>2540</v>
      </c>
      <c r="K670" s="21">
        <v>0.25</v>
      </c>
      <c r="L670" s="21">
        <v>0.05</v>
      </c>
      <c r="M670" s="21">
        <v>990.05319999999995</v>
      </c>
      <c r="N670" s="21">
        <v>1045.3255999999999</v>
      </c>
      <c r="O670" s="21">
        <v>38.191800000000001</v>
      </c>
      <c r="R670" s="21">
        <v>2540</v>
      </c>
      <c r="S670" s="21">
        <v>0.25</v>
      </c>
      <c r="T670" s="21">
        <v>0.05</v>
      </c>
      <c r="U670" s="21">
        <v>991.50519999999995</v>
      </c>
      <c r="V670" s="21">
        <v>1051.3478</v>
      </c>
      <c r="W670" s="21">
        <v>38.185400000000001</v>
      </c>
    </row>
    <row r="671" spans="2:23" x14ac:dyDescent="0.3">
      <c r="B671" s="21">
        <v>2740</v>
      </c>
      <c r="C671" s="21">
        <v>0.25</v>
      </c>
      <c r="D671" s="21">
        <v>0.05</v>
      </c>
      <c r="E671" s="21">
        <v>1009.443</v>
      </c>
      <c r="F671" s="21">
        <v>1131.6913</v>
      </c>
      <c r="G671" s="21">
        <v>38.1312</v>
      </c>
      <c r="J671" s="21">
        <v>2740</v>
      </c>
      <c r="K671" s="21">
        <v>0.25</v>
      </c>
      <c r="L671" s="21">
        <v>0.05</v>
      </c>
      <c r="M671" s="21">
        <v>1022.7928000000001</v>
      </c>
      <c r="N671" s="21">
        <v>1199.0542</v>
      </c>
      <c r="O671" s="21">
        <v>38.121000000000002</v>
      </c>
      <c r="R671" s="21">
        <v>2740</v>
      </c>
      <c r="S671" s="21">
        <v>0.25</v>
      </c>
      <c r="T671" s="21">
        <v>0.05</v>
      </c>
      <c r="U671" s="21">
        <v>1024.3312000000001</v>
      </c>
      <c r="V671" s="21">
        <v>1207.2559000000001</v>
      </c>
      <c r="W671" s="21">
        <v>38.121499999999997</v>
      </c>
    </row>
    <row r="672" spans="2:23" x14ac:dyDescent="0.3">
      <c r="B672" s="21">
        <v>2940</v>
      </c>
      <c r="C672" s="21">
        <v>0.25</v>
      </c>
      <c r="D672" s="21">
        <v>0.05</v>
      </c>
      <c r="E672" s="21">
        <v>1041.1904999999999</v>
      </c>
      <c r="F672" s="21">
        <v>1099.8625</v>
      </c>
      <c r="G672" s="21">
        <v>38.1496</v>
      </c>
      <c r="J672" s="21">
        <v>2940</v>
      </c>
      <c r="K672" s="21">
        <v>0.25</v>
      </c>
      <c r="L672" s="21">
        <v>0.05</v>
      </c>
      <c r="M672" s="21">
        <v>1056.6615999999999</v>
      </c>
      <c r="N672" s="21">
        <v>1043.4156</v>
      </c>
      <c r="O672" s="21">
        <v>38.2121</v>
      </c>
      <c r="R672" s="21">
        <v>2940</v>
      </c>
      <c r="S672" s="21">
        <v>0.25</v>
      </c>
      <c r="T672" s="21">
        <v>0.05</v>
      </c>
      <c r="U672" s="21">
        <v>1058.4286999999999</v>
      </c>
      <c r="V672" s="21">
        <v>1037.1985999999999</v>
      </c>
      <c r="W672" s="21">
        <v>38.221499999999999</v>
      </c>
    </row>
    <row r="673" spans="2:23" x14ac:dyDescent="0.3">
      <c r="B673" s="21">
        <v>3060</v>
      </c>
      <c r="C673" s="21">
        <v>0.25</v>
      </c>
      <c r="D673" s="21">
        <v>0.05</v>
      </c>
      <c r="E673" s="21">
        <v>1060.8921</v>
      </c>
      <c r="F673" s="21">
        <v>1028.6114</v>
      </c>
      <c r="G673" s="21">
        <v>38.235300000000002</v>
      </c>
      <c r="J673" s="21">
        <v>3060</v>
      </c>
      <c r="K673" s="21">
        <v>0.25</v>
      </c>
      <c r="L673" s="21">
        <v>0.05</v>
      </c>
      <c r="M673" s="21">
        <v>1077.7384999999999</v>
      </c>
      <c r="N673" s="21">
        <v>972.41959999999995</v>
      </c>
      <c r="O673" s="21">
        <v>38.354399999999998</v>
      </c>
      <c r="R673" s="21">
        <v>3060</v>
      </c>
      <c r="S673" s="21">
        <v>0.25</v>
      </c>
      <c r="T673" s="21">
        <v>0.05</v>
      </c>
      <c r="U673" s="21">
        <v>1079.6373000000001</v>
      </c>
      <c r="V673" s="21">
        <v>966.36749999999995</v>
      </c>
      <c r="W673" s="21">
        <v>38.370399999999997</v>
      </c>
    </row>
    <row r="674" spans="2:23" x14ac:dyDescent="0.3">
      <c r="B674" s="21">
        <v>3260</v>
      </c>
      <c r="C674" s="21">
        <v>0.25</v>
      </c>
      <c r="D674" s="21">
        <v>0.05</v>
      </c>
      <c r="E674" s="21">
        <v>1105.742</v>
      </c>
      <c r="F674" s="21">
        <v>889.1386</v>
      </c>
      <c r="G674" s="21">
        <v>38.646099999999997</v>
      </c>
      <c r="J674" s="21">
        <v>3260</v>
      </c>
      <c r="K674" s="21">
        <v>0.25</v>
      </c>
      <c r="L674" s="21">
        <v>0.05</v>
      </c>
      <c r="M674" s="21">
        <v>1125.2156</v>
      </c>
      <c r="N674" s="21">
        <v>839.03009999999995</v>
      </c>
      <c r="O674" s="21">
        <v>38.918500000000002</v>
      </c>
      <c r="R674" s="21">
        <v>3260</v>
      </c>
      <c r="S674" s="21">
        <v>0.25</v>
      </c>
      <c r="T674" s="21">
        <v>0.05</v>
      </c>
      <c r="U674" s="21">
        <v>1127.4078999999999</v>
      </c>
      <c r="V674" s="21">
        <v>833.80399999999997</v>
      </c>
      <c r="W674" s="21">
        <v>38.9527</v>
      </c>
    </row>
    <row r="675" spans="2:23" x14ac:dyDescent="0.3">
      <c r="B675" s="21">
        <v>3460</v>
      </c>
      <c r="C675" s="21">
        <v>0.25</v>
      </c>
      <c r="D675" s="21">
        <v>0.05</v>
      </c>
      <c r="E675" s="21">
        <v>1153.9934000000001</v>
      </c>
      <c r="F675" s="21">
        <v>777.33619999999996</v>
      </c>
      <c r="G675" s="21">
        <v>39.425699999999999</v>
      </c>
      <c r="J675" s="21">
        <v>3460</v>
      </c>
      <c r="K675" s="21">
        <v>0.25</v>
      </c>
      <c r="L675" s="21">
        <v>0.05</v>
      </c>
      <c r="M675" s="21">
        <v>1175.2262000000001</v>
      </c>
      <c r="N675" s="21">
        <v>741.71529999999996</v>
      </c>
      <c r="O675" s="21">
        <v>39.880000000000003</v>
      </c>
      <c r="R675" s="21">
        <v>3460</v>
      </c>
      <c r="S675" s="21">
        <v>0.25</v>
      </c>
      <c r="T675" s="21">
        <v>0.05</v>
      </c>
      <c r="U675" s="21">
        <v>1177.6062999999999</v>
      </c>
      <c r="V675" s="21">
        <v>738.26440000000002</v>
      </c>
      <c r="W675" s="21">
        <v>39.935200000000002</v>
      </c>
    </row>
    <row r="676" spans="2:23" x14ac:dyDescent="0.3">
      <c r="B676" s="21">
        <v>3660</v>
      </c>
      <c r="C676" s="21">
        <v>0.25</v>
      </c>
      <c r="D676" s="21">
        <v>0.05</v>
      </c>
      <c r="E676" s="21">
        <v>1200.4365</v>
      </c>
      <c r="F676" s="21">
        <v>703</v>
      </c>
      <c r="G676" s="21">
        <v>40.5075</v>
      </c>
      <c r="J676" s="21">
        <v>3660</v>
      </c>
      <c r="K676" s="21">
        <v>0.25</v>
      </c>
      <c r="L676" s="21">
        <v>0.05</v>
      </c>
      <c r="M676" s="21">
        <v>1222.0639000000001</v>
      </c>
      <c r="N676" s="21">
        <v>703</v>
      </c>
      <c r="O676" s="21">
        <v>41.121600000000001</v>
      </c>
      <c r="R676" s="21">
        <v>3660</v>
      </c>
      <c r="S676" s="21">
        <v>0.25</v>
      </c>
      <c r="T676" s="21">
        <v>0.05</v>
      </c>
      <c r="U676" s="21">
        <v>1224.4635000000001</v>
      </c>
      <c r="V676" s="21">
        <v>703</v>
      </c>
      <c r="W676" s="21">
        <v>41.194099999999999</v>
      </c>
    </row>
    <row r="677" spans="2:23" x14ac:dyDescent="0.3">
      <c r="B677" s="21">
        <v>3860</v>
      </c>
      <c r="C677" s="21">
        <v>0.25</v>
      </c>
      <c r="D677" s="21">
        <v>0.05</v>
      </c>
      <c r="E677" s="21">
        <v>1242.3298</v>
      </c>
      <c r="F677" s="21">
        <v>703</v>
      </c>
      <c r="G677" s="21">
        <v>41.760199999999998</v>
      </c>
      <c r="J677" s="21">
        <v>3860</v>
      </c>
      <c r="K677" s="21">
        <v>0.25</v>
      </c>
      <c r="L677" s="21">
        <v>0.05</v>
      </c>
      <c r="M677" s="21">
        <v>1263.4614999999999</v>
      </c>
      <c r="N677" s="21">
        <v>703</v>
      </c>
      <c r="O677" s="21">
        <v>42.490499999999997</v>
      </c>
      <c r="R677" s="21">
        <v>3860</v>
      </c>
      <c r="S677" s="21">
        <v>0.25</v>
      </c>
      <c r="T677" s="21">
        <v>0.05</v>
      </c>
      <c r="U677" s="21">
        <v>1265.8268</v>
      </c>
      <c r="V677" s="21">
        <v>703</v>
      </c>
      <c r="W677" s="21">
        <v>42.576300000000003</v>
      </c>
    </row>
    <row r="678" spans="2:23" x14ac:dyDescent="0.3">
      <c r="B678" s="21">
        <v>4060</v>
      </c>
      <c r="C678" s="21">
        <v>0.25</v>
      </c>
      <c r="D678" s="21">
        <v>0.05</v>
      </c>
      <c r="E678" s="21">
        <v>1279.0987</v>
      </c>
      <c r="F678" s="21">
        <v>703</v>
      </c>
      <c r="G678" s="21">
        <v>43.072699999999998</v>
      </c>
      <c r="J678" s="21">
        <v>4060</v>
      </c>
      <c r="K678" s="21">
        <v>0.25</v>
      </c>
      <c r="L678" s="21">
        <v>0.05</v>
      </c>
      <c r="M678" s="21">
        <v>1299.6695999999999</v>
      </c>
      <c r="N678" s="21">
        <v>703</v>
      </c>
      <c r="O678" s="21">
        <v>43.892299999999999</v>
      </c>
      <c r="R678" s="21">
        <v>4060</v>
      </c>
      <c r="S678" s="21">
        <v>0.25</v>
      </c>
      <c r="T678" s="21">
        <v>0.05</v>
      </c>
      <c r="U678" s="21">
        <v>1301.9974</v>
      </c>
      <c r="V678" s="21">
        <v>703</v>
      </c>
      <c r="W678" s="21">
        <v>43.988900000000001</v>
      </c>
    </row>
    <row r="679" spans="2:23" x14ac:dyDescent="0.3">
      <c r="B679" s="21">
        <v>4260</v>
      </c>
      <c r="C679" s="21">
        <v>0.25</v>
      </c>
      <c r="D679" s="21">
        <v>0.05</v>
      </c>
      <c r="E679" s="21">
        <v>1311.1206999999999</v>
      </c>
      <c r="F679" s="21">
        <v>703</v>
      </c>
      <c r="G679" s="21">
        <v>44.374699999999997</v>
      </c>
      <c r="J679" s="21">
        <v>4260</v>
      </c>
      <c r="K679" s="21">
        <v>0.25</v>
      </c>
      <c r="L679" s="21">
        <v>0.05</v>
      </c>
      <c r="M679" s="21">
        <v>1331.1269</v>
      </c>
      <c r="N679" s="21">
        <v>703</v>
      </c>
      <c r="O679" s="21">
        <v>45.261400000000002</v>
      </c>
      <c r="R679" s="21">
        <v>4260</v>
      </c>
      <c r="S679" s="21">
        <v>0.25</v>
      </c>
      <c r="T679" s="21">
        <v>0.05</v>
      </c>
      <c r="U679" s="21">
        <v>1333.4149</v>
      </c>
      <c r="V679" s="21">
        <v>703</v>
      </c>
      <c r="W679" s="21">
        <v>45.366399999999999</v>
      </c>
    </row>
    <row r="680" spans="2:23" x14ac:dyDescent="0.3">
      <c r="B680" s="21">
        <v>4460</v>
      </c>
      <c r="C680" s="21">
        <v>0.25</v>
      </c>
      <c r="D680" s="21">
        <v>0.05</v>
      </c>
      <c r="E680" s="21">
        <v>1338.8710000000001</v>
      </c>
      <c r="F680" s="21">
        <v>703</v>
      </c>
      <c r="G680" s="21">
        <v>45.619599999999998</v>
      </c>
      <c r="J680" s="21">
        <v>4460</v>
      </c>
      <c r="K680" s="21">
        <v>0.25</v>
      </c>
      <c r="L680" s="21">
        <v>0.05</v>
      </c>
      <c r="M680" s="21">
        <v>1358.3142</v>
      </c>
      <c r="N680" s="21">
        <v>703</v>
      </c>
      <c r="O680" s="21">
        <v>46.5548</v>
      </c>
      <c r="R680" s="21">
        <v>4460</v>
      </c>
      <c r="S680" s="21">
        <v>0.25</v>
      </c>
      <c r="T680" s="21">
        <v>0.05</v>
      </c>
      <c r="U680" s="21">
        <v>1360.5438999999999</v>
      </c>
      <c r="V680" s="21">
        <v>703</v>
      </c>
      <c r="W680" s="21">
        <v>46.665300000000002</v>
      </c>
    </row>
    <row r="681" spans="2:23" x14ac:dyDescent="0.3">
      <c r="B681" s="21">
        <v>4660</v>
      </c>
      <c r="C681" s="21">
        <v>0.25</v>
      </c>
      <c r="D681" s="21">
        <v>0.05</v>
      </c>
      <c r="E681" s="21">
        <v>1362.8227999999999</v>
      </c>
      <c r="F681" s="21">
        <v>703</v>
      </c>
      <c r="G681" s="21">
        <v>46.7789</v>
      </c>
      <c r="J681" s="21">
        <v>4660</v>
      </c>
      <c r="K681" s="21">
        <v>0.25</v>
      </c>
      <c r="L681" s="21">
        <v>0.05</v>
      </c>
      <c r="M681" s="21">
        <v>1381.6676</v>
      </c>
      <c r="N681" s="21">
        <v>703</v>
      </c>
      <c r="O681" s="21">
        <v>47.744900000000001</v>
      </c>
      <c r="R681" s="21">
        <v>4660</v>
      </c>
      <c r="S681" s="21">
        <v>0.25</v>
      </c>
      <c r="T681" s="21">
        <v>0.05</v>
      </c>
      <c r="U681" s="21">
        <v>1383.8492000000001</v>
      </c>
      <c r="V681" s="21">
        <v>703</v>
      </c>
      <c r="W681" s="21">
        <v>47.859699999999997</v>
      </c>
    </row>
    <row r="682" spans="2:23" x14ac:dyDescent="0.3">
      <c r="B682" s="21">
        <v>4860</v>
      </c>
      <c r="C682" s="21">
        <v>0.25</v>
      </c>
      <c r="D682" s="21">
        <v>0.05</v>
      </c>
      <c r="E682" s="21">
        <v>1383.373</v>
      </c>
      <c r="F682" s="21">
        <v>703</v>
      </c>
      <c r="G682" s="21">
        <v>47.834600000000002</v>
      </c>
      <c r="J682" s="21">
        <v>4860</v>
      </c>
      <c r="K682" s="21">
        <v>0.25</v>
      </c>
      <c r="L682" s="21">
        <v>0.05</v>
      </c>
      <c r="M682" s="21">
        <v>1401.6561999999999</v>
      </c>
      <c r="N682" s="21">
        <v>703</v>
      </c>
      <c r="O682" s="21">
        <v>48.82</v>
      </c>
      <c r="R682" s="21">
        <v>4860</v>
      </c>
      <c r="S682" s="21">
        <v>0.25</v>
      </c>
      <c r="T682" s="21">
        <v>0.05</v>
      </c>
      <c r="U682" s="21">
        <v>1403.7764</v>
      </c>
      <c r="V682" s="21">
        <v>703</v>
      </c>
      <c r="W682" s="21">
        <v>48.936999999999998</v>
      </c>
    </row>
    <row r="683" spans="2:23" x14ac:dyDescent="0.3">
      <c r="B683" s="21">
        <v>4980</v>
      </c>
      <c r="C683" s="21">
        <v>0.25</v>
      </c>
      <c r="D683" s="21">
        <v>0.05</v>
      </c>
      <c r="E683" s="21">
        <v>1394.5952</v>
      </c>
      <c r="F683" s="21">
        <v>703</v>
      </c>
      <c r="G683" s="21">
        <v>48.4343</v>
      </c>
      <c r="J683" s="21">
        <v>4980</v>
      </c>
      <c r="K683" s="21">
        <v>0.25</v>
      </c>
      <c r="L683" s="21">
        <v>0.05</v>
      </c>
      <c r="M683" s="21">
        <v>1412.5306</v>
      </c>
      <c r="N683" s="21">
        <v>703</v>
      </c>
      <c r="O683" s="21">
        <v>49.426099999999998</v>
      </c>
      <c r="R683" s="21">
        <v>4980</v>
      </c>
      <c r="S683" s="21">
        <v>0.25</v>
      </c>
      <c r="T683" s="21">
        <v>0.05</v>
      </c>
      <c r="U683" s="21">
        <v>1414.6107999999999</v>
      </c>
      <c r="V683" s="21">
        <v>703</v>
      </c>
      <c r="W683" s="21">
        <v>49.543799999999997</v>
      </c>
    </row>
    <row r="684" spans="2:23" x14ac:dyDescent="0.3">
      <c r="B684" s="21">
        <v>5180</v>
      </c>
      <c r="C684" s="21">
        <v>0.25</v>
      </c>
      <c r="D684" s="21">
        <v>0.05</v>
      </c>
      <c r="E684" s="21">
        <v>1409.5648000000001</v>
      </c>
      <c r="F684" s="21">
        <v>703</v>
      </c>
      <c r="G684" s="21">
        <v>49.259300000000003</v>
      </c>
      <c r="J684" s="21">
        <v>5180</v>
      </c>
      <c r="K684" s="21">
        <v>0.25</v>
      </c>
      <c r="L684" s="21">
        <v>0.05</v>
      </c>
      <c r="M684" s="21">
        <v>1426.9104</v>
      </c>
      <c r="N684" s="21">
        <v>703</v>
      </c>
      <c r="O684" s="21">
        <v>50.2502</v>
      </c>
      <c r="R684" s="21">
        <v>5180</v>
      </c>
      <c r="S684" s="21">
        <v>0.25</v>
      </c>
      <c r="T684" s="21">
        <v>0.05</v>
      </c>
      <c r="U684" s="21">
        <v>1428.9378999999999</v>
      </c>
      <c r="V684" s="21">
        <v>703</v>
      </c>
      <c r="W684" s="21">
        <v>50.368499999999997</v>
      </c>
    </row>
    <row r="685" spans="2:23" x14ac:dyDescent="0.3">
      <c r="B685" s="21">
        <v>5380</v>
      </c>
      <c r="C685" s="21">
        <v>0.25</v>
      </c>
      <c r="D685" s="21">
        <v>0.05</v>
      </c>
      <c r="E685" s="21">
        <v>1422.3708999999999</v>
      </c>
      <c r="F685" s="21">
        <v>703</v>
      </c>
      <c r="G685" s="21">
        <v>49.987299999999998</v>
      </c>
      <c r="J685" s="21">
        <v>5380</v>
      </c>
      <c r="K685" s="21">
        <v>0.25</v>
      </c>
      <c r="L685" s="21">
        <v>0.05</v>
      </c>
      <c r="M685" s="21">
        <v>1439.1918000000001</v>
      </c>
      <c r="N685" s="21">
        <v>703</v>
      </c>
      <c r="O685" s="21">
        <v>50.973999999999997</v>
      </c>
      <c r="R685" s="21">
        <v>5380</v>
      </c>
      <c r="S685" s="21">
        <v>0.25</v>
      </c>
      <c r="T685" s="21">
        <v>0.05</v>
      </c>
      <c r="U685" s="21">
        <v>1441.17</v>
      </c>
      <c r="V685" s="21">
        <v>703</v>
      </c>
      <c r="W685" s="21">
        <v>51.092300000000002</v>
      </c>
    </row>
    <row r="686" spans="2:23" x14ac:dyDescent="0.3">
      <c r="B686" s="21">
        <v>5580</v>
      </c>
      <c r="C686" s="21">
        <v>0.25</v>
      </c>
      <c r="D686" s="21">
        <v>0.05</v>
      </c>
      <c r="E686" s="21">
        <v>1433.4286</v>
      </c>
      <c r="F686" s="21">
        <v>703</v>
      </c>
      <c r="G686" s="21">
        <v>50.632100000000001</v>
      </c>
      <c r="J686" s="21">
        <v>5580</v>
      </c>
      <c r="K686" s="21">
        <v>0.25</v>
      </c>
      <c r="L686" s="21">
        <v>0.05</v>
      </c>
      <c r="M686" s="21">
        <v>1449.7905000000001</v>
      </c>
      <c r="N686" s="21">
        <v>703</v>
      </c>
      <c r="O686" s="21">
        <v>51.613</v>
      </c>
      <c r="R686" s="21">
        <v>5580</v>
      </c>
      <c r="S686" s="21">
        <v>0.25</v>
      </c>
      <c r="T686" s="21">
        <v>0.05</v>
      </c>
      <c r="U686" s="21">
        <v>1451.7257999999999</v>
      </c>
      <c r="V686" s="21">
        <v>703</v>
      </c>
      <c r="W686" s="21">
        <v>51.731099999999998</v>
      </c>
    </row>
    <row r="687" spans="2:23" x14ac:dyDescent="0.3">
      <c r="B687" s="21">
        <v>5780</v>
      </c>
      <c r="C687" s="21">
        <v>0.25</v>
      </c>
      <c r="D687" s="21">
        <v>0.05</v>
      </c>
      <c r="E687" s="21">
        <v>1442.9375</v>
      </c>
      <c r="F687" s="21">
        <v>703</v>
      </c>
      <c r="G687" s="21">
        <v>51.198300000000003</v>
      </c>
      <c r="J687" s="21">
        <v>5780</v>
      </c>
      <c r="K687" s="21">
        <v>0.25</v>
      </c>
      <c r="L687" s="21">
        <v>0.05</v>
      </c>
      <c r="M687" s="21">
        <v>1458.8986</v>
      </c>
      <c r="N687" s="21">
        <v>703</v>
      </c>
      <c r="O687" s="21">
        <v>52.172600000000003</v>
      </c>
      <c r="R687" s="21">
        <v>5780</v>
      </c>
      <c r="S687" s="21">
        <v>0.25</v>
      </c>
      <c r="T687" s="21">
        <v>0.05</v>
      </c>
      <c r="U687" s="21">
        <v>1460.7819999999999</v>
      </c>
      <c r="V687" s="21">
        <v>703</v>
      </c>
      <c r="W687" s="21">
        <v>52.289499999999997</v>
      </c>
    </row>
    <row r="688" spans="2:23" x14ac:dyDescent="0.3">
      <c r="B688" s="21">
        <v>5980</v>
      </c>
      <c r="C688" s="21">
        <v>0.25</v>
      </c>
      <c r="D688" s="21">
        <v>0.05</v>
      </c>
      <c r="E688" s="21">
        <v>1451.0958000000001</v>
      </c>
      <c r="F688" s="21">
        <v>703</v>
      </c>
      <c r="G688" s="21">
        <v>51.692599999999999</v>
      </c>
      <c r="J688" s="21">
        <v>5980</v>
      </c>
      <c r="K688" s="21">
        <v>0.25</v>
      </c>
      <c r="L688" s="21">
        <v>0.05</v>
      </c>
      <c r="M688" s="21">
        <v>1466.6658</v>
      </c>
      <c r="N688" s="21">
        <v>703</v>
      </c>
      <c r="O688" s="21">
        <v>52.657400000000003</v>
      </c>
      <c r="R688" s="21">
        <v>5980</v>
      </c>
      <c r="S688" s="21">
        <v>0.25</v>
      </c>
      <c r="T688" s="21">
        <v>0.05</v>
      </c>
      <c r="U688" s="21">
        <v>1468.5071</v>
      </c>
      <c r="V688" s="21">
        <v>703</v>
      </c>
      <c r="W688" s="21">
        <v>52.773299999999999</v>
      </c>
    </row>
    <row r="689" spans="2:23" x14ac:dyDescent="0.3">
      <c r="B689" s="21">
        <v>6180</v>
      </c>
      <c r="C689" s="21">
        <v>0.25</v>
      </c>
      <c r="D689" s="21">
        <v>0.05</v>
      </c>
      <c r="E689" s="21">
        <v>1458.0432000000001</v>
      </c>
      <c r="F689" s="21">
        <v>703</v>
      </c>
      <c r="G689" s="21">
        <v>52.119700000000002</v>
      </c>
      <c r="J689" s="21">
        <v>6180</v>
      </c>
      <c r="K689" s="21">
        <v>0.25</v>
      </c>
      <c r="L689" s="21">
        <v>0.05</v>
      </c>
      <c r="M689" s="21">
        <v>1473.2608</v>
      </c>
      <c r="N689" s="21">
        <v>703</v>
      </c>
      <c r="O689" s="21">
        <v>53.074300000000001</v>
      </c>
      <c r="R689" s="21">
        <v>6180</v>
      </c>
      <c r="S689" s="21">
        <v>0.25</v>
      </c>
      <c r="T689" s="21">
        <v>0.05</v>
      </c>
      <c r="U689" s="21">
        <v>1475.0608999999999</v>
      </c>
      <c r="V689" s="21">
        <v>703</v>
      </c>
      <c r="W689" s="21">
        <v>53.188899999999997</v>
      </c>
    </row>
    <row r="690" spans="2:23" x14ac:dyDescent="0.3">
      <c r="B690" s="21">
        <v>6380</v>
      </c>
      <c r="C690" s="21">
        <v>0.25</v>
      </c>
      <c r="D690" s="21">
        <v>0.05</v>
      </c>
      <c r="E690" s="21">
        <v>1463.9387999999999</v>
      </c>
      <c r="F690" s="21">
        <v>703</v>
      </c>
      <c r="G690" s="21">
        <v>52.486400000000003</v>
      </c>
      <c r="J690" s="21">
        <v>6380</v>
      </c>
      <c r="K690" s="21">
        <v>0.25</v>
      </c>
      <c r="L690" s="21">
        <v>0.05</v>
      </c>
      <c r="M690" s="21">
        <v>1478.8317999999999</v>
      </c>
      <c r="N690" s="21">
        <v>703</v>
      </c>
      <c r="O690" s="21">
        <v>53.430199999999999</v>
      </c>
      <c r="R690" s="21">
        <v>6380</v>
      </c>
      <c r="S690" s="21">
        <v>0.25</v>
      </c>
      <c r="T690" s="21">
        <v>0.05</v>
      </c>
      <c r="U690" s="21">
        <v>1480.6035999999999</v>
      </c>
      <c r="V690" s="21">
        <v>703</v>
      </c>
      <c r="W690" s="21">
        <v>53.5441</v>
      </c>
    </row>
    <row r="691" spans="2:23" x14ac:dyDescent="0.3">
      <c r="B691" s="21">
        <v>6580</v>
      </c>
      <c r="C691" s="21">
        <v>0.25</v>
      </c>
      <c r="D691" s="21">
        <v>0.05</v>
      </c>
      <c r="E691" s="21">
        <v>1468.9257</v>
      </c>
      <c r="F691" s="21">
        <v>703</v>
      </c>
      <c r="G691" s="21">
        <v>52.799700000000001</v>
      </c>
      <c r="J691" s="21">
        <v>6580</v>
      </c>
      <c r="K691" s="21">
        <v>0.25</v>
      </c>
      <c r="L691" s="21">
        <v>0.05</v>
      </c>
      <c r="M691" s="21">
        <v>1483.5395000000001</v>
      </c>
      <c r="N691" s="21">
        <v>703</v>
      </c>
      <c r="O691" s="21">
        <v>53.733699999999999</v>
      </c>
      <c r="R691" s="21">
        <v>6580</v>
      </c>
      <c r="S691" s="21">
        <v>0.25</v>
      </c>
      <c r="T691" s="21">
        <v>0.05</v>
      </c>
      <c r="U691" s="21">
        <v>1485.2811999999999</v>
      </c>
      <c r="V691" s="21">
        <v>703</v>
      </c>
      <c r="W691" s="21">
        <v>53.846499999999999</v>
      </c>
    </row>
    <row r="692" spans="2:23" x14ac:dyDescent="0.3">
      <c r="B692" s="21">
        <v>6780</v>
      </c>
      <c r="C692" s="21">
        <v>0.25</v>
      </c>
      <c r="D692" s="21">
        <v>0.05</v>
      </c>
      <c r="E692" s="21">
        <v>1473.1554000000001</v>
      </c>
      <c r="F692" s="21">
        <v>703</v>
      </c>
      <c r="G692" s="21">
        <v>53.067599999999999</v>
      </c>
      <c r="J692" s="21">
        <v>6780</v>
      </c>
      <c r="K692" s="21">
        <v>0.25</v>
      </c>
      <c r="L692" s="21">
        <v>0.05</v>
      </c>
      <c r="M692" s="21">
        <v>1487.5142000000001</v>
      </c>
      <c r="N692" s="21">
        <v>703</v>
      </c>
      <c r="O692" s="21">
        <v>53.991700000000002</v>
      </c>
      <c r="R692" s="21">
        <v>6780</v>
      </c>
      <c r="S692" s="21">
        <v>0.25</v>
      </c>
      <c r="T692" s="21">
        <v>0.05</v>
      </c>
      <c r="U692" s="21">
        <v>1489.2236</v>
      </c>
      <c r="V692" s="21">
        <v>703</v>
      </c>
      <c r="W692" s="21">
        <v>54.103200000000001</v>
      </c>
    </row>
    <row r="693" spans="2:23" x14ac:dyDescent="0.3">
      <c r="B693" s="21">
        <v>6980</v>
      </c>
      <c r="C693" s="21">
        <v>0.25</v>
      </c>
      <c r="D693" s="21">
        <v>0.05</v>
      </c>
      <c r="E693" s="21">
        <v>1476.7301</v>
      </c>
      <c r="F693" s="21">
        <v>703</v>
      </c>
      <c r="G693" s="21">
        <v>53.295499999999997</v>
      </c>
      <c r="J693" s="21">
        <v>6980</v>
      </c>
      <c r="K693" s="21">
        <v>0.25</v>
      </c>
      <c r="L693" s="21">
        <v>0.05</v>
      </c>
      <c r="M693" s="21">
        <v>1490.8554999999999</v>
      </c>
      <c r="N693" s="21">
        <v>703</v>
      </c>
      <c r="O693" s="21">
        <v>54.21</v>
      </c>
      <c r="R693" s="21">
        <v>6980</v>
      </c>
      <c r="S693" s="21">
        <v>0.25</v>
      </c>
      <c r="T693" s="21">
        <v>0.05</v>
      </c>
      <c r="U693" s="21">
        <v>1492.5428999999999</v>
      </c>
      <c r="V693" s="21">
        <v>703</v>
      </c>
      <c r="W693" s="21">
        <v>54.320700000000002</v>
      </c>
    </row>
    <row r="694" spans="2:23" x14ac:dyDescent="0.3">
      <c r="B694" s="21">
        <v>7180</v>
      </c>
      <c r="C694" s="21">
        <v>0.25</v>
      </c>
      <c r="D694" s="21">
        <v>0.05</v>
      </c>
      <c r="E694" s="21">
        <v>1479.7391</v>
      </c>
      <c r="F694" s="21">
        <v>703</v>
      </c>
      <c r="G694" s="21">
        <v>53.488500000000002</v>
      </c>
      <c r="J694" s="21">
        <v>7180</v>
      </c>
      <c r="K694" s="21">
        <v>0.25</v>
      </c>
      <c r="L694" s="21">
        <v>0.05</v>
      </c>
      <c r="M694" s="21">
        <v>1493.6736000000001</v>
      </c>
      <c r="N694" s="21">
        <v>703</v>
      </c>
      <c r="O694" s="21">
        <v>54.395000000000003</v>
      </c>
      <c r="R694" s="21">
        <v>7180</v>
      </c>
      <c r="S694" s="21">
        <v>0.25</v>
      </c>
      <c r="T694" s="21">
        <v>0.05</v>
      </c>
      <c r="U694" s="21">
        <v>1495.3361</v>
      </c>
      <c r="V694" s="21">
        <v>703</v>
      </c>
      <c r="W694" s="21">
        <v>54.5045</v>
      </c>
    </row>
    <row r="695" spans="2:23" x14ac:dyDescent="0.3">
      <c r="B695" s="21">
        <v>7380</v>
      </c>
      <c r="C695" s="21">
        <v>0.25</v>
      </c>
      <c r="D695" s="21">
        <v>0.05</v>
      </c>
      <c r="E695" s="21">
        <v>1482.2804000000001</v>
      </c>
      <c r="F695" s="21">
        <v>703</v>
      </c>
      <c r="G695" s="21">
        <v>53.652299999999997</v>
      </c>
      <c r="J695" s="21">
        <v>7380</v>
      </c>
      <c r="K695" s="21">
        <v>0.25</v>
      </c>
      <c r="L695" s="21">
        <v>0.05</v>
      </c>
      <c r="M695" s="21">
        <v>1496.0382999999999</v>
      </c>
      <c r="N695" s="21">
        <v>703</v>
      </c>
      <c r="O695" s="21">
        <v>54.550899999999999</v>
      </c>
      <c r="R695" s="21">
        <v>7380</v>
      </c>
      <c r="S695" s="21">
        <v>0.25</v>
      </c>
      <c r="T695" s="21">
        <v>0.05</v>
      </c>
      <c r="U695" s="21">
        <v>1497.6853000000001</v>
      </c>
      <c r="V695" s="21">
        <v>703</v>
      </c>
      <c r="W695" s="21">
        <v>54.659799999999997</v>
      </c>
    </row>
    <row r="696" spans="2:23" x14ac:dyDescent="0.3">
      <c r="B696" s="21">
        <v>7580</v>
      </c>
      <c r="C696" s="21">
        <v>0.25</v>
      </c>
      <c r="D696" s="21">
        <v>0.05</v>
      </c>
      <c r="E696" s="21">
        <v>1484.4368999999999</v>
      </c>
      <c r="F696" s="21">
        <v>703</v>
      </c>
      <c r="G696" s="21">
        <v>53.791800000000002</v>
      </c>
      <c r="J696" s="21">
        <v>7580</v>
      </c>
      <c r="K696" s="21">
        <v>0.25</v>
      </c>
      <c r="L696" s="21">
        <v>0.05</v>
      </c>
      <c r="M696" s="21">
        <v>1498.0327</v>
      </c>
      <c r="N696" s="21">
        <v>703</v>
      </c>
      <c r="O696" s="21">
        <v>54.6828</v>
      </c>
      <c r="R696" s="21">
        <v>7580</v>
      </c>
      <c r="S696" s="21">
        <v>0.25</v>
      </c>
      <c r="T696" s="21">
        <v>0.05</v>
      </c>
      <c r="U696" s="21">
        <v>1499.6605999999999</v>
      </c>
      <c r="V696" s="21">
        <v>703</v>
      </c>
      <c r="W696" s="21">
        <v>54.790799999999997</v>
      </c>
    </row>
    <row r="697" spans="2:23" x14ac:dyDescent="0.3">
      <c r="B697" s="21">
        <v>7780</v>
      </c>
      <c r="C697" s="21">
        <v>0.25</v>
      </c>
      <c r="D697" s="21">
        <v>0.05</v>
      </c>
      <c r="E697" s="21">
        <v>1486.2563</v>
      </c>
      <c r="F697" s="21">
        <v>703</v>
      </c>
      <c r="G697" s="21">
        <v>53.9099</v>
      </c>
      <c r="J697" s="21">
        <v>7780</v>
      </c>
      <c r="K697" s="21">
        <v>0.25</v>
      </c>
      <c r="L697" s="21">
        <v>0.05</v>
      </c>
      <c r="M697" s="21">
        <v>1499.7028</v>
      </c>
      <c r="N697" s="21">
        <v>703</v>
      </c>
      <c r="O697" s="21">
        <v>54.793599999999998</v>
      </c>
      <c r="R697" s="21">
        <v>7780</v>
      </c>
      <c r="S697" s="21">
        <v>0.25</v>
      </c>
      <c r="T697" s="21">
        <v>0.05</v>
      </c>
      <c r="U697" s="21">
        <v>1501.3210999999999</v>
      </c>
      <c r="V697" s="21">
        <v>703</v>
      </c>
      <c r="W697" s="21">
        <v>54.901299999999999</v>
      </c>
    </row>
    <row r="698" spans="2:23" x14ac:dyDescent="0.3">
      <c r="B698" s="21">
        <v>7980</v>
      </c>
      <c r="C698" s="21">
        <v>0.25</v>
      </c>
      <c r="D698" s="21">
        <v>0.05</v>
      </c>
      <c r="E698" s="21">
        <v>1487.7746999999999</v>
      </c>
      <c r="F698" s="21">
        <v>703</v>
      </c>
      <c r="G698" s="21">
        <v>54.008699999999997</v>
      </c>
      <c r="J698" s="21">
        <v>7980</v>
      </c>
      <c r="K698" s="21">
        <v>0.25</v>
      </c>
      <c r="L698" s="21">
        <v>0.05</v>
      </c>
      <c r="M698" s="21">
        <v>1501.1106</v>
      </c>
      <c r="N698" s="21">
        <v>703</v>
      </c>
      <c r="O698" s="21">
        <v>54.887300000000003</v>
      </c>
      <c r="R698" s="21">
        <v>7980</v>
      </c>
      <c r="S698" s="21">
        <v>0.25</v>
      </c>
      <c r="T698" s="21">
        <v>0.05</v>
      </c>
      <c r="U698" s="21">
        <v>1502.7167999999999</v>
      </c>
      <c r="V698" s="21">
        <v>703</v>
      </c>
      <c r="W698" s="21">
        <v>54.994300000000003</v>
      </c>
    </row>
    <row r="699" spans="2:23" x14ac:dyDescent="0.3">
      <c r="B699" s="21">
        <v>8180</v>
      </c>
      <c r="C699" s="21">
        <v>0.25</v>
      </c>
      <c r="D699" s="21">
        <v>0.05</v>
      </c>
      <c r="E699" s="21">
        <v>1489.0749000000001</v>
      </c>
      <c r="F699" s="21">
        <v>703</v>
      </c>
      <c r="G699" s="21">
        <v>54.093499999999999</v>
      </c>
      <c r="J699" s="21">
        <v>8180</v>
      </c>
      <c r="K699" s="21">
        <v>0.25</v>
      </c>
      <c r="L699" s="21">
        <v>0.05</v>
      </c>
      <c r="M699" s="21">
        <v>1502.2974999999999</v>
      </c>
      <c r="N699" s="21">
        <v>703</v>
      </c>
      <c r="O699" s="21">
        <v>54.9664</v>
      </c>
      <c r="R699" s="21">
        <v>8180</v>
      </c>
      <c r="S699" s="21">
        <v>0.25</v>
      </c>
      <c r="T699" s="21">
        <v>0.05</v>
      </c>
      <c r="U699" s="21">
        <v>1503.8896</v>
      </c>
      <c r="V699" s="21">
        <v>703</v>
      </c>
      <c r="W699" s="21">
        <v>55.072699999999998</v>
      </c>
    </row>
    <row r="700" spans="2:23" x14ac:dyDescent="0.3">
      <c r="B700" s="21">
        <v>8380</v>
      </c>
      <c r="C700" s="21">
        <v>0.25</v>
      </c>
      <c r="D700" s="21">
        <v>0.05</v>
      </c>
      <c r="E700" s="21">
        <v>1490.1525999999999</v>
      </c>
      <c r="F700" s="21">
        <v>703</v>
      </c>
      <c r="G700" s="21">
        <v>54.164000000000001</v>
      </c>
      <c r="J700" s="21">
        <v>8380</v>
      </c>
      <c r="K700" s="21">
        <v>0.25</v>
      </c>
      <c r="L700" s="21">
        <v>0.05</v>
      </c>
      <c r="M700" s="21">
        <v>1503.2972</v>
      </c>
      <c r="N700" s="21">
        <v>703</v>
      </c>
      <c r="O700" s="21">
        <v>55.033099999999997</v>
      </c>
      <c r="R700" s="21">
        <v>8380</v>
      </c>
      <c r="S700" s="21">
        <v>0.25</v>
      </c>
      <c r="T700" s="21">
        <v>0.05</v>
      </c>
      <c r="U700" s="21">
        <v>1504.8751999999999</v>
      </c>
      <c r="V700" s="21">
        <v>703</v>
      </c>
      <c r="W700" s="21">
        <v>55.138599999999997</v>
      </c>
    </row>
    <row r="701" spans="2:23" x14ac:dyDescent="0.3">
      <c r="B701" s="21">
        <v>8400</v>
      </c>
      <c r="C701" s="21">
        <v>0.25</v>
      </c>
      <c r="D701" s="21">
        <v>0.05</v>
      </c>
      <c r="E701" s="21">
        <v>1490.2663</v>
      </c>
      <c r="F701" s="21">
        <v>703</v>
      </c>
      <c r="G701" s="21">
        <v>54.171399999999998</v>
      </c>
      <c r="J701" s="21">
        <v>8400</v>
      </c>
      <c r="K701" s="21">
        <v>0.25</v>
      </c>
      <c r="L701" s="21">
        <v>0.05</v>
      </c>
      <c r="M701" s="21">
        <v>1503.4013</v>
      </c>
      <c r="N701" s="21">
        <v>703</v>
      </c>
      <c r="O701" s="21">
        <v>55.04</v>
      </c>
      <c r="R701" s="21">
        <v>8400</v>
      </c>
      <c r="S701" s="21">
        <v>0.25</v>
      </c>
      <c r="T701" s="21">
        <v>0.05</v>
      </c>
      <c r="U701" s="21">
        <v>1504.9737</v>
      </c>
      <c r="V701" s="21">
        <v>703</v>
      </c>
      <c r="W701" s="21">
        <v>55.145200000000003</v>
      </c>
    </row>
    <row r="702" spans="2:23" x14ac:dyDescent="0.3">
      <c r="B702" s="21">
        <v>8600</v>
      </c>
      <c r="C702" s="21">
        <v>0.25</v>
      </c>
      <c r="D702" s="21">
        <v>0.05</v>
      </c>
      <c r="E702" s="21">
        <v>1483.0700999999999</v>
      </c>
      <c r="F702" s="21">
        <v>703</v>
      </c>
      <c r="G702" s="21">
        <v>53.703299999999999</v>
      </c>
      <c r="J702" s="21">
        <v>8600</v>
      </c>
      <c r="K702" s="21">
        <v>0.25</v>
      </c>
      <c r="L702" s="21">
        <v>0.05</v>
      </c>
      <c r="M702" s="21">
        <v>1492.5803000000001</v>
      </c>
      <c r="N702" s="21">
        <v>703</v>
      </c>
      <c r="O702" s="21">
        <v>54.323099999999997</v>
      </c>
      <c r="R702" s="21">
        <v>8600</v>
      </c>
      <c r="S702" s="21">
        <v>0.25</v>
      </c>
      <c r="T702" s="21">
        <v>0.05</v>
      </c>
      <c r="U702" s="21">
        <v>1493.6824999999999</v>
      </c>
      <c r="V702" s="21">
        <v>703</v>
      </c>
      <c r="W702" s="21">
        <v>54.395600000000002</v>
      </c>
    </row>
    <row r="703" spans="2:23" x14ac:dyDescent="0.3">
      <c r="B703" s="21">
        <v>8800</v>
      </c>
      <c r="C703" s="21">
        <v>0.25</v>
      </c>
      <c r="D703" s="21">
        <v>0.05</v>
      </c>
      <c r="E703" s="21">
        <v>1475.0498</v>
      </c>
      <c r="F703" s="21">
        <v>703</v>
      </c>
      <c r="G703" s="21">
        <v>53.188200000000002</v>
      </c>
      <c r="J703" s="21">
        <v>8800</v>
      </c>
      <c r="K703" s="21">
        <v>0.25</v>
      </c>
      <c r="L703" s="21">
        <v>0.05</v>
      </c>
      <c r="M703" s="21">
        <v>1481.3233</v>
      </c>
      <c r="N703" s="21">
        <v>703</v>
      </c>
      <c r="O703" s="21">
        <v>53.590499999999999</v>
      </c>
      <c r="R703" s="21">
        <v>8800</v>
      </c>
      <c r="S703" s="21">
        <v>0.25</v>
      </c>
      <c r="T703" s="21">
        <v>0.05</v>
      </c>
      <c r="U703" s="21">
        <v>1482.0147999999999</v>
      </c>
      <c r="V703" s="21">
        <v>703</v>
      </c>
      <c r="W703" s="21">
        <v>53.635100000000001</v>
      </c>
    </row>
    <row r="704" spans="2:23" x14ac:dyDescent="0.3">
      <c r="B704" s="21">
        <v>9000</v>
      </c>
      <c r="C704" s="21">
        <v>0.25</v>
      </c>
      <c r="D704" s="21">
        <v>0.05</v>
      </c>
      <c r="E704" s="21">
        <v>1467.9894999999999</v>
      </c>
      <c r="F704" s="21">
        <v>703</v>
      </c>
      <c r="G704" s="21">
        <v>52.740600000000001</v>
      </c>
      <c r="J704" s="21">
        <v>9000</v>
      </c>
      <c r="K704" s="21">
        <v>0.25</v>
      </c>
      <c r="L704" s="21">
        <v>0.05</v>
      </c>
      <c r="M704" s="21">
        <v>1471.4115999999999</v>
      </c>
      <c r="N704" s="21">
        <v>703</v>
      </c>
      <c r="O704" s="21">
        <v>52.956899999999997</v>
      </c>
      <c r="R704" s="21">
        <v>9000</v>
      </c>
      <c r="S704" s="21">
        <v>0.25</v>
      </c>
      <c r="T704" s="21">
        <v>0.05</v>
      </c>
      <c r="U704" s="21">
        <v>1471.7456</v>
      </c>
      <c r="V704" s="21">
        <v>703</v>
      </c>
      <c r="W704" s="21">
        <v>52.978099999999998</v>
      </c>
    </row>
    <row r="705" spans="2:23" x14ac:dyDescent="0.3">
      <c r="B705" s="21">
        <v>9200</v>
      </c>
      <c r="C705" s="21">
        <v>0.25</v>
      </c>
      <c r="D705" s="21">
        <v>0.05</v>
      </c>
      <c r="E705" s="21">
        <v>1461.8708999999999</v>
      </c>
      <c r="F705" s="21">
        <v>703</v>
      </c>
      <c r="G705" s="21">
        <v>52.357300000000002</v>
      </c>
      <c r="J705" s="21">
        <v>9200</v>
      </c>
      <c r="K705" s="21">
        <v>0.25</v>
      </c>
      <c r="L705" s="21">
        <v>0.05</v>
      </c>
      <c r="M705" s="21">
        <v>1462.8125</v>
      </c>
      <c r="N705" s="21">
        <v>703</v>
      </c>
      <c r="O705" s="21">
        <v>52.415999999999997</v>
      </c>
      <c r="R705" s="21">
        <v>9200</v>
      </c>
      <c r="S705" s="21">
        <v>0.25</v>
      </c>
      <c r="T705" s="21">
        <v>0.05</v>
      </c>
      <c r="U705" s="21">
        <v>1462.8382999999999</v>
      </c>
      <c r="V705" s="21">
        <v>703</v>
      </c>
      <c r="W705" s="21">
        <v>52.4176</v>
      </c>
    </row>
    <row r="706" spans="2:23" x14ac:dyDescent="0.3">
      <c r="B706" s="21">
        <v>9400</v>
      </c>
      <c r="C706" s="21">
        <v>0.25</v>
      </c>
      <c r="D706" s="21">
        <v>0.05</v>
      </c>
      <c r="E706" s="21">
        <v>1456.5927999999999</v>
      </c>
      <c r="F706" s="21">
        <v>703</v>
      </c>
      <c r="G706" s="21">
        <v>52.03</v>
      </c>
      <c r="J706" s="21">
        <v>9400</v>
      </c>
      <c r="K706" s="21">
        <v>0.25</v>
      </c>
      <c r="L706" s="21">
        <v>0.05</v>
      </c>
      <c r="M706" s="21">
        <v>1455.3543</v>
      </c>
      <c r="N706" s="21">
        <v>703</v>
      </c>
      <c r="O706" s="21">
        <v>51.953699999999998</v>
      </c>
      <c r="R706" s="21">
        <v>9400</v>
      </c>
      <c r="S706" s="21">
        <v>0.25</v>
      </c>
      <c r="T706" s="21">
        <v>0.05</v>
      </c>
      <c r="U706" s="21">
        <v>1455.1183000000001</v>
      </c>
      <c r="V706" s="21">
        <v>703</v>
      </c>
      <c r="W706" s="21">
        <v>51.9392</v>
      </c>
    </row>
    <row r="707" spans="2:23" x14ac:dyDescent="0.3">
      <c r="B707" s="21">
        <v>9600</v>
      </c>
      <c r="C707" s="21">
        <v>0.25</v>
      </c>
      <c r="D707" s="21">
        <v>0.05</v>
      </c>
      <c r="E707" s="21">
        <v>1452.0234</v>
      </c>
      <c r="F707" s="21">
        <v>703</v>
      </c>
      <c r="G707" s="21">
        <v>51.749299999999998</v>
      </c>
      <c r="J707" s="21">
        <v>9600</v>
      </c>
      <c r="K707" s="21">
        <v>0.25</v>
      </c>
      <c r="L707" s="21">
        <v>0.05</v>
      </c>
      <c r="M707" s="21">
        <v>1448.9021</v>
      </c>
      <c r="N707" s="21">
        <v>703</v>
      </c>
      <c r="O707" s="21">
        <v>51.558900000000001</v>
      </c>
      <c r="R707" s="21">
        <v>9600</v>
      </c>
      <c r="S707" s="21">
        <v>0.25</v>
      </c>
      <c r="T707" s="21">
        <v>0.05</v>
      </c>
      <c r="U707" s="21">
        <v>1448.4418000000001</v>
      </c>
      <c r="V707" s="21">
        <v>703</v>
      </c>
      <c r="W707" s="21">
        <v>51.530999999999999</v>
      </c>
    </row>
    <row r="708" spans="2:23" x14ac:dyDescent="0.3">
      <c r="B708" s="21">
        <v>9800</v>
      </c>
      <c r="C708" s="21">
        <v>0.25</v>
      </c>
      <c r="D708" s="21">
        <v>0.05</v>
      </c>
      <c r="E708" s="21">
        <v>1448.1029000000001</v>
      </c>
      <c r="F708" s="21">
        <v>703</v>
      </c>
      <c r="G708" s="21">
        <v>51.510399999999997</v>
      </c>
      <c r="J708" s="21">
        <v>9800</v>
      </c>
      <c r="K708" s="21">
        <v>0.25</v>
      </c>
      <c r="L708" s="21">
        <v>0.05</v>
      </c>
      <c r="M708" s="21">
        <v>1443.3379</v>
      </c>
      <c r="N708" s="21">
        <v>703</v>
      </c>
      <c r="O708" s="21">
        <v>51.2224</v>
      </c>
      <c r="R708" s="21">
        <v>9800</v>
      </c>
      <c r="S708" s="21">
        <v>0.25</v>
      </c>
      <c r="T708" s="21">
        <v>0.05</v>
      </c>
      <c r="U708" s="21">
        <v>1442.6828</v>
      </c>
      <c r="V708" s="21">
        <v>703</v>
      </c>
      <c r="W708" s="21">
        <v>51.183</v>
      </c>
    </row>
    <row r="709" spans="2:23" x14ac:dyDescent="0.3">
      <c r="B709" s="21">
        <v>10000</v>
      </c>
      <c r="C709" s="21">
        <v>0.25</v>
      </c>
      <c r="D709" s="21">
        <v>0.05</v>
      </c>
      <c r="E709" s="21">
        <v>1444.7203</v>
      </c>
      <c r="F709" s="21">
        <v>703</v>
      </c>
      <c r="G709" s="21">
        <v>51.305700000000002</v>
      </c>
      <c r="J709" s="21">
        <v>10000</v>
      </c>
      <c r="K709" s="21">
        <v>0.25</v>
      </c>
      <c r="L709" s="21">
        <v>0.05</v>
      </c>
      <c r="M709" s="21">
        <v>1438.5540000000001</v>
      </c>
      <c r="N709" s="21">
        <v>703</v>
      </c>
      <c r="O709" s="21">
        <v>50.936</v>
      </c>
      <c r="R709" s="21">
        <v>10000</v>
      </c>
      <c r="S709" s="21">
        <v>0.25</v>
      </c>
      <c r="T709" s="21">
        <v>0.05</v>
      </c>
      <c r="U709" s="21">
        <v>1437.7331999999999</v>
      </c>
      <c r="V709" s="21">
        <v>703</v>
      </c>
      <c r="W709" s="21">
        <v>50.887099999999997</v>
      </c>
    </row>
    <row r="710" spans="2:23" x14ac:dyDescent="0.3">
      <c r="B710" s="21">
        <v>10200</v>
      </c>
      <c r="C710" s="21">
        <v>0.25</v>
      </c>
      <c r="D710" s="21">
        <v>0.05</v>
      </c>
      <c r="E710" s="21">
        <v>1441.8297</v>
      </c>
      <c r="F710" s="21">
        <v>703</v>
      </c>
      <c r="G710" s="21">
        <v>51.131799999999998</v>
      </c>
      <c r="J710" s="21">
        <v>10200</v>
      </c>
      <c r="K710" s="21">
        <v>0.25</v>
      </c>
      <c r="L710" s="21">
        <v>0.05</v>
      </c>
      <c r="M710" s="21">
        <v>1434.4519</v>
      </c>
      <c r="N710" s="21">
        <v>703</v>
      </c>
      <c r="O710" s="21">
        <v>50.692500000000003</v>
      </c>
      <c r="R710" s="21">
        <v>10200</v>
      </c>
      <c r="S710" s="21">
        <v>0.25</v>
      </c>
      <c r="T710" s="21">
        <v>0.05</v>
      </c>
      <c r="U710" s="21">
        <v>1433.4828</v>
      </c>
      <c r="V710" s="21">
        <v>703</v>
      </c>
      <c r="W710" s="21">
        <v>50.635300000000001</v>
      </c>
    </row>
    <row r="711" spans="2:23" x14ac:dyDescent="0.3">
      <c r="B711" s="21">
        <v>10400</v>
      </c>
      <c r="C711" s="21">
        <v>0.25</v>
      </c>
      <c r="D711" s="21">
        <v>0.05</v>
      </c>
      <c r="E711" s="21">
        <v>1439.3588</v>
      </c>
      <c r="F711" s="21">
        <v>703</v>
      </c>
      <c r="G711" s="21">
        <v>50.984000000000002</v>
      </c>
      <c r="J711" s="21">
        <v>10400</v>
      </c>
      <c r="K711" s="21">
        <v>0.25</v>
      </c>
      <c r="L711" s="21">
        <v>0.05</v>
      </c>
      <c r="M711" s="21">
        <v>1430.9289000000001</v>
      </c>
      <c r="N711" s="21">
        <v>703</v>
      </c>
      <c r="O711" s="21">
        <v>50.485100000000003</v>
      </c>
      <c r="R711" s="21">
        <v>10400</v>
      </c>
      <c r="S711" s="21">
        <v>0.25</v>
      </c>
      <c r="T711" s="21">
        <v>0.05</v>
      </c>
      <c r="U711" s="21">
        <v>1429.8379</v>
      </c>
      <c r="V711" s="21">
        <v>703</v>
      </c>
      <c r="W711" s="21">
        <v>50.421100000000003</v>
      </c>
    </row>
    <row r="712" spans="2:23" x14ac:dyDescent="0.3">
      <c r="B712" s="21">
        <v>10600</v>
      </c>
      <c r="C712" s="21">
        <v>0.25</v>
      </c>
      <c r="D712" s="21">
        <v>0.05</v>
      </c>
      <c r="E712" s="21">
        <v>1437.2411</v>
      </c>
      <c r="F712" s="21">
        <v>703</v>
      </c>
      <c r="G712" s="21">
        <v>50.857799999999997</v>
      </c>
      <c r="J712" s="21">
        <v>10600</v>
      </c>
      <c r="K712" s="21">
        <v>0.25</v>
      </c>
      <c r="L712" s="21">
        <v>0.05</v>
      </c>
      <c r="M712" s="21">
        <v>1427.9061999999999</v>
      </c>
      <c r="N712" s="21">
        <v>703</v>
      </c>
      <c r="O712" s="21">
        <v>50.308300000000003</v>
      </c>
      <c r="R712" s="21">
        <v>10600</v>
      </c>
      <c r="S712" s="21">
        <v>0.25</v>
      </c>
      <c r="T712" s="21">
        <v>0.05</v>
      </c>
      <c r="U712" s="21">
        <v>1426.7157999999999</v>
      </c>
      <c r="V712" s="21">
        <v>703</v>
      </c>
      <c r="W712" s="21">
        <v>50.238900000000001</v>
      </c>
    </row>
    <row r="713" spans="2:23" x14ac:dyDescent="0.3">
      <c r="B713" s="21">
        <v>10800</v>
      </c>
      <c r="C713" s="21">
        <v>0.25</v>
      </c>
      <c r="D713" s="21">
        <v>0.05</v>
      </c>
      <c r="E713" s="21">
        <v>1435.4467</v>
      </c>
      <c r="F713" s="21">
        <v>703</v>
      </c>
      <c r="G713" s="21">
        <v>50.751399999999997</v>
      </c>
      <c r="J713" s="21">
        <v>10800</v>
      </c>
      <c r="K713" s="21">
        <v>0.25</v>
      </c>
      <c r="L713" s="21">
        <v>0.05</v>
      </c>
      <c r="M713" s="21">
        <v>1425.3290999999999</v>
      </c>
      <c r="N713" s="21">
        <v>703</v>
      </c>
      <c r="O713" s="21">
        <v>50.1584</v>
      </c>
      <c r="R713" s="21">
        <v>10800</v>
      </c>
      <c r="S713" s="21">
        <v>0.25</v>
      </c>
      <c r="T713" s="21">
        <v>0.05</v>
      </c>
      <c r="U713" s="21">
        <v>1424.0429999999999</v>
      </c>
      <c r="V713" s="21">
        <v>703</v>
      </c>
      <c r="W713" s="21">
        <v>50.0839</v>
      </c>
    </row>
    <row r="714" spans="2:23" x14ac:dyDescent="0.3">
      <c r="B714" s="21">
        <v>11000</v>
      </c>
      <c r="C714" s="21">
        <v>0.25</v>
      </c>
      <c r="D714" s="21">
        <v>0.05</v>
      </c>
      <c r="E714" s="21">
        <v>1433.8924</v>
      </c>
      <c r="F714" s="21">
        <v>703</v>
      </c>
      <c r="G714" s="21">
        <v>50.659500000000001</v>
      </c>
      <c r="J714" s="21">
        <v>11000</v>
      </c>
      <c r="K714" s="21">
        <v>0.25</v>
      </c>
      <c r="L714" s="21">
        <v>0.05</v>
      </c>
      <c r="M714" s="21">
        <v>1423.1225999999999</v>
      </c>
      <c r="N714" s="21">
        <v>703</v>
      </c>
      <c r="O714" s="21">
        <v>50.030700000000003</v>
      </c>
      <c r="R714" s="21">
        <v>11000</v>
      </c>
      <c r="S714" s="21">
        <v>0.25</v>
      </c>
      <c r="T714" s="21">
        <v>0.05</v>
      </c>
      <c r="U714" s="21">
        <v>1421.7561000000001</v>
      </c>
      <c r="V714" s="21">
        <v>703</v>
      </c>
      <c r="W714" s="21">
        <v>49.951900000000002</v>
      </c>
    </row>
    <row r="715" spans="2:23" x14ac:dyDescent="0.3">
      <c r="B715" s="21">
        <v>11200</v>
      </c>
      <c r="C715" s="21">
        <v>0.25</v>
      </c>
      <c r="D715" s="21">
        <v>0.05</v>
      </c>
      <c r="E715" s="21">
        <v>1432.5861</v>
      </c>
      <c r="F715" s="21">
        <v>703</v>
      </c>
      <c r="G715" s="21">
        <v>50.582500000000003</v>
      </c>
      <c r="J715" s="21">
        <v>11200</v>
      </c>
      <c r="K715" s="21">
        <v>0.25</v>
      </c>
      <c r="L715" s="21">
        <v>0.05</v>
      </c>
      <c r="M715" s="21">
        <v>1421.2338</v>
      </c>
      <c r="N715" s="21">
        <v>703</v>
      </c>
      <c r="O715" s="21">
        <v>49.921900000000001</v>
      </c>
      <c r="R715" s="21">
        <v>11200</v>
      </c>
      <c r="S715" s="21">
        <v>0.25</v>
      </c>
      <c r="T715" s="21">
        <v>0.05</v>
      </c>
      <c r="U715" s="21">
        <v>1419.7997</v>
      </c>
      <c r="V715" s="21">
        <v>703</v>
      </c>
      <c r="W715" s="21">
        <v>49.839599999999997</v>
      </c>
    </row>
    <row r="716" spans="2:23" x14ac:dyDescent="0.3">
      <c r="B716" s="21">
        <v>11400</v>
      </c>
      <c r="C716" s="21">
        <v>0.25</v>
      </c>
      <c r="D716" s="21">
        <v>0.05</v>
      </c>
      <c r="E716" s="21">
        <v>1431.4531999999999</v>
      </c>
      <c r="F716" s="21">
        <v>703</v>
      </c>
      <c r="G716" s="21">
        <v>50.515799999999999</v>
      </c>
      <c r="J716" s="21">
        <v>11400</v>
      </c>
      <c r="K716" s="21">
        <v>0.25</v>
      </c>
      <c r="L716" s="21">
        <v>0.05</v>
      </c>
      <c r="M716" s="21">
        <v>1419.6192000000001</v>
      </c>
      <c r="N716" s="21">
        <v>703</v>
      </c>
      <c r="O716" s="21">
        <v>49.8292</v>
      </c>
      <c r="R716" s="21">
        <v>11400</v>
      </c>
      <c r="S716" s="21">
        <v>0.25</v>
      </c>
      <c r="T716" s="21">
        <v>0.05</v>
      </c>
      <c r="U716" s="21">
        <v>1418.1261</v>
      </c>
      <c r="V716" s="21">
        <v>703</v>
      </c>
      <c r="W716" s="21">
        <v>49.7438</v>
      </c>
    </row>
    <row r="717" spans="2:23" x14ac:dyDescent="0.3">
      <c r="B717" s="21">
        <v>11600</v>
      </c>
      <c r="C717" s="21">
        <v>0.25</v>
      </c>
      <c r="D717" s="21">
        <v>0.05</v>
      </c>
      <c r="E717" s="21">
        <v>1430.5092</v>
      </c>
      <c r="F717" s="21">
        <v>703</v>
      </c>
      <c r="G717" s="21">
        <v>50.4604</v>
      </c>
      <c r="J717" s="21">
        <v>11600</v>
      </c>
      <c r="K717" s="21">
        <v>0.25</v>
      </c>
      <c r="L717" s="21">
        <v>0.05</v>
      </c>
      <c r="M717" s="21">
        <v>1418.2393999999999</v>
      </c>
      <c r="N717" s="21">
        <v>703</v>
      </c>
      <c r="O717" s="21">
        <v>49.750300000000003</v>
      </c>
      <c r="R717" s="21">
        <v>11600</v>
      </c>
      <c r="S717" s="21">
        <v>0.25</v>
      </c>
      <c r="T717" s="21">
        <v>0.05</v>
      </c>
      <c r="U717" s="21">
        <v>1416.6890000000001</v>
      </c>
      <c r="V717" s="21">
        <v>703</v>
      </c>
      <c r="W717" s="21">
        <v>49.661799999999999</v>
      </c>
    </row>
    <row r="718" spans="2:23" x14ac:dyDescent="0.3">
      <c r="B718" s="21">
        <v>11800</v>
      </c>
      <c r="C718" s="21">
        <v>0.25</v>
      </c>
      <c r="D718" s="21">
        <v>0.05</v>
      </c>
      <c r="E718" s="21">
        <v>1429.6855</v>
      </c>
      <c r="F718" s="21">
        <v>703</v>
      </c>
      <c r="G718" s="21">
        <v>50.412199999999999</v>
      </c>
      <c r="J718" s="21">
        <v>11800</v>
      </c>
      <c r="K718" s="21">
        <v>0.25</v>
      </c>
      <c r="L718" s="21">
        <v>0.05</v>
      </c>
      <c r="M718" s="21">
        <v>1417.0483999999999</v>
      </c>
      <c r="N718" s="21">
        <v>703</v>
      </c>
      <c r="O718" s="21">
        <v>49.682299999999998</v>
      </c>
      <c r="R718" s="21">
        <v>11800</v>
      </c>
      <c r="S718" s="21">
        <v>0.25</v>
      </c>
      <c r="T718" s="21">
        <v>0.05</v>
      </c>
      <c r="U718" s="21">
        <v>1415.4594999999999</v>
      </c>
      <c r="V718" s="21">
        <v>703</v>
      </c>
      <c r="W718" s="21">
        <v>49.591900000000003</v>
      </c>
    </row>
    <row r="719" spans="2:23" x14ac:dyDescent="0.3">
      <c r="B719" s="21">
        <v>12000</v>
      </c>
      <c r="C719" s="21">
        <v>0.25</v>
      </c>
      <c r="D719" s="21">
        <v>0.05</v>
      </c>
      <c r="E719" s="21">
        <v>1429.0029</v>
      </c>
      <c r="F719" s="21">
        <v>703</v>
      </c>
      <c r="G719" s="21">
        <v>50.372300000000003</v>
      </c>
      <c r="J719" s="21">
        <v>12000</v>
      </c>
      <c r="K719" s="21">
        <v>0.25</v>
      </c>
      <c r="L719" s="21">
        <v>0.05</v>
      </c>
      <c r="M719" s="21">
        <v>1416.0340000000001</v>
      </c>
      <c r="N719" s="21">
        <v>703</v>
      </c>
      <c r="O719" s="21">
        <v>49.624600000000001</v>
      </c>
      <c r="R719" s="21">
        <v>12000</v>
      </c>
      <c r="S719" s="21">
        <v>0.25</v>
      </c>
      <c r="T719" s="21">
        <v>0.05</v>
      </c>
      <c r="U719" s="21">
        <v>1414.4078999999999</v>
      </c>
      <c r="V719" s="21">
        <v>703</v>
      </c>
      <c r="W719" s="21">
        <v>49.532299999999999</v>
      </c>
    </row>
    <row r="720" spans="2:23" x14ac:dyDescent="0.3">
      <c r="B720" s="21">
        <v>12200</v>
      </c>
      <c r="C720" s="21">
        <v>0.25</v>
      </c>
      <c r="D720" s="21">
        <v>0.05</v>
      </c>
      <c r="E720" s="21">
        <v>1428.3974000000001</v>
      </c>
      <c r="F720" s="21">
        <v>703</v>
      </c>
      <c r="G720" s="21">
        <v>50.3369</v>
      </c>
      <c r="J720" s="21">
        <v>12200</v>
      </c>
      <c r="K720" s="21">
        <v>0.25</v>
      </c>
      <c r="L720" s="21">
        <v>0.05</v>
      </c>
      <c r="M720" s="21">
        <v>1415.1713999999999</v>
      </c>
      <c r="N720" s="21">
        <v>703</v>
      </c>
      <c r="O720" s="21">
        <v>49.575600000000001</v>
      </c>
      <c r="R720" s="21">
        <v>12200</v>
      </c>
      <c r="S720" s="21">
        <v>0.25</v>
      </c>
      <c r="T720" s="21">
        <v>0.05</v>
      </c>
      <c r="U720" s="21">
        <v>1413.5081</v>
      </c>
      <c r="V720" s="21">
        <v>703</v>
      </c>
      <c r="W720" s="21">
        <v>49.481299999999997</v>
      </c>
    </row>
    <row r="721" spans="2:23" x14ac:dyDescent="0.3">
      <c r="B721" s="21">
        <v>12400</v>
      </c>
      <c r="C721" s="21">
        <v>0.25</v>
      </c>
      <c r="D721" s="21">
        <v>0.05</v>
      </c>
      <c r="E721" s="21">
        <v>1427.8943999999999</v>
      </c>
      <c r="F721" s="21">
        <v>703</v>
      </c>
      <c r="G721" s="21">
        <v>50.307600000000001</v>
      </c>
      <c r="J721" s="21">
        <v>12400</v>
      </c>
      <c r="K721" s="21">
        <v>0.25</v>
      </c>
      <c r="L721" s="21">
        <v>0.05</v>
      </c>
      <c r="M721" s="21">
        <v>1414.4268999999999</v>
      </c>
      <c r="N721" s="21">
        <v>703</v>
      </c>
      <c r="O721" s="21">
        <v>49.5334</v>
      </c>
      <c r="R721" s="21">
        <v>12400</v>
      </c>
      <c r="S721" s="21">
        <v>0.25</v>
      </c>
      <c r="T721" s="21">
        <v>0.05</v>
      </c>
      <c r="U721" s="21">
        <v>1412.7385999999999</v>
      </c>
      <c r="V721" s="21">
        <v>703</v>
      </c>
      <c r="W721" s="21">
        <v>49.437899999999999</v>
      </c>
    </row>
    <row r="722" spans="2:23" x14ac:dyDescent="0.3">
      <c r="B722" s="21">
        <v>12600</v>
      </c>
      <c r="C722" s="21">
        <v>0.25</v>
      </c>
      <c r="D722" s="21">
        <v>0.05</v>
      </c>
      <c r="E722" s="21">
        <v>1427.4599000000001</v>
      </c>
      <c r="F722" s="21">
        <v>703</v>
      </c>
      <c r="G722" s="21">
        <v>50.282200000000003</v>
      </c>
      <c r="J722" s="21">
        <v>12600</v>
      </c>
      <c r="K722" s="21">
        <v>0.25</v>
      </c>
      <c r="L722" s="21">
        <v>0.05</v>
      </c>
      <c r="M722" s="21">
        <v>1413.7846999999999</v>
      </c>
      <c r="N722" s="21">
        <v>703</v>
      </c>
      <c r="O722" s="21">
        <v>49.497</v>
      </c>
      <c r="R722" s="21">
        <v>12600</v>
      </c>
      <c r="S722" s="21">
        <v>0.25</v>
      </c>
      <c r="T722" s="21">
        <v>0.05</v>
      </c>
      <c r="U722" s="21">
        <v>1412.0802000000001</v>
      </c>
      <c r="V722" s="21">
        <v>703</v>
      </c>
      <c r="W722" s="21">
        <v>49.400700000000001</v>
      </c>
    </row>
    <row r="723" spans="2:23" x14ac:dyDescent="0.3">
      <c r="B723" s="21">
        <v>12800</v>
      </c>
      <c r="C723" s="21">
        <v>0.25</v>
      </c>
      <c r="D723" s="21">
        <v>0.05</v>
      </c>
      <c r="E723" s="21">
        <v>1427.0913</v>
      </c>
      <c r="F723" s="21">
        <v>703</v>
      </c>
      <c r="G723" s="21">
        <v>50.260800000000003</v>
      </c>
      <c r="J723" s="21">
        <v>12800</v>
      </c>
      <c r="K723" s="21">
        <v>0.25</v>
      </c>
      <c r="L723" s="21">
        <v>0.05</v>
      </c>
      <c r="M723" s="21">
        <v>1413.2455</v>
      </c>
      <c r="N723" s="21">
        <v>703</v>
      </c>
      <c r="O723" s="21">
        <v>49.466500000000003</v>
      </c>
      <c r="R723" s="21">
        <v>12800</v>
      </c>
      <c r="S723" s="21">
        <v>0.25</v>
      </c>
      <c r="T723" s="21">
        <v>0.05</v>
      </c>
      <c r="U723" s="21">
        <v>1411.5172</v>
      </c>
      <c r="V723" s="21">
        <v>703</v>
      </c>
      <c r="W723" s="21">
        <v>49.369</v>
      </c>
    </row>
    <row r="724" spans="2:23" x14ac:dyDescent="0.3">
      <c r="B724" s="21">
        <v>13000</v>
      </c>
      <c r="C724" s="21">
        <v>0.25</v>
      </c>
      <c r="D724" s="21">
        <v>0.05</v>
      </c>
      <c r="E724" s="21">
        <v>1426.7863</v>
      </c>
      <c r="F724" s="21">
        <v>703</v>
      </c>
      <c r="G724" s="21">
        <v>50.243000000000002</v>
      </c>
      <c r="J724" s="21">
        <v>13000</v>
      </c>
      <c r="K724" s="21">
        <v>0.25</v>
      </c>
      <c r="L724" s="21">
        <v>0.05</v>
      </c>
      <c r="M724" s="21">
        <v>1412.7826</v>
      </c>
      <c r="N724" s="21">
        <v>703</v>
      </c>
      <c r="O724" s="21">
        <v>49.440399999999997</v>
      </c>
      <c r="R724" s="21">
        <v>13000</v>
      </c>
      <c r="S724" s="21">
        <v>0.25</v>
      </c>
      <c r="T724" s="21">
        <v>0.05</v>
      </c>
      <c r="U724" s="21">
        <v>1411.0358000000001</v>
      </c>
      <c r="V724" s="21">
        <v>703</v>
      </c>
      <c r="W724" s="21">
        <v>49.341900000000003</v>
      </c>
    </row>
    <row r="725" spans="2:23" x14ac:dyDescent="0.3">
      <c r="B725" s="21">
        <v>13200</v>
      </c>
      <c r="C725" s="21">
        <v>0.25</v>
      </c>
      <c r="D725" s="21">
        <v>0.05</v>
      </c>
      <c r="E725" s="21">
        <v>1426.5135</v>
      </c>
      <c r="F725" s="21">
        <v>703</v>
      </c>
      <c r="G725" s="21">
        <v>50.227200000000003</v>
      </c>
      <c r="J725" s="21">
        <v>13200</v>
      </c>
      <c r="K725" s="21">
        <v>0.25</v>
      </c>
      <c r="L725" s="21">
        <v>0.05</v>
      </c>
      <c r="M725" s="21">
        <v>1412.3867</v>
      </c>
      <c r="N725" s="21">
        <v>703</v>
      </c>
      <c r="O725" s="21">
        <v>49.417999999999999</v>
      </c>
      <c r="R725" s="21">
        <v>13200</v>
      </c>
      <c r="S725" s="21">
        <v>0.25</v>
      </c>
      <c r="T725" s="21">
        <v>0.05</v>
      </c>
      <c r="U725" s="21">
        <v>1410.6180999999999</v>
      </c>
      <c r="V725" s="21">
        <v>703</v>
      </c>
      <c r="W725" s="21">
        <v>49.3185</v>
      </c>
    </row>
    <row r="726" spans="2:23" x14ac:dyDescent="0.3">
      <c r="B726" s="21">
        <v>13400</v>
      </c>
      <c r="C726" s="21">
        <v>0.25</v>
      </c>
      <c r="D726" s="21">
        <v>0.05</v>
      </c>
      <c r="E726" s="21">
        <v>1426.3016</v>
      </c>
      <c r="F726" s="21">
        <v>703</v>
      </c>
      <c r="G726" s="21">
        <v>50.214799999999997</v>
      </c>
      <c r="J726" s="21">
        <v>13400</v>
      </c>
      <c r="K726" s="21">
        <v>0.25</v>
      </c>
      <c r="L726" s="21">
        <v>0.05</v>
      </c>
      <c r="M726" s="21">
        <v>1412.0355999999999</v>
      </c>
      <c r="N726" s="21">
        <v>703</v>
      </c>
      <c r="O726" s="21">
        <v>49.398200000000003</v>
      </c>
      <c r="R726" s="21">
        <v>13400</v>
      </c>
      <c r="S726" s="21">
        <v>0.25</v>
      </c>
      <c r="T726" s="21">
        <v>0.05</v>
      </c>
      <c r="U726" s="21">
        <v>1410.2611999999999</v>
      </c>
      <c r="V726" s="21">
        <v>703</v>
      </c>
      <c r="W726" s="21">
        <v>49.298400000000001</v>
      </c>
    </row>
    <row r="727" spans="2:23" x14ac:dyDescent="0.3">
      <c r="B727" s="21">
        <v>13600</v>
      </c>
      <c r="C727" s="21">
        <v>0.25</v>
      </c>
      <c r="D727" s="21">
        <v>0.05</v>
      </c>
      <c r="E727" s="21">
        <v>1426.0921000000001</v>
      </c>
      <c r="F727" s="21">
        <v>703</v>
      </c>
      <c r="G727" s="21">
        <v>50.2027</v>
      </c>
      <c r="J727" s="21">
        <v>13600</v>
      </c>
      <c r="K727" s="21">
        <v>0.25</v>
      </c>
      <c r="L727" s="21">
        <v>0.05</v>
      </c>
      <c r="M727" s="21">
        <v>1411.7382</v>
      </c>
      <c r="N727" s="21">
        <v>703</v>
      </c>
      <c r="O727" s="21">
        <v>49.381500000000003</v>
      </c>
      <c r="R727" s="21">
        <v>13600</v>
      </c>
      <c r="S727" s="21">
        <v>0.25</v>
      </c>
      <c r="T727" s="21">
        <v>0.05</v>
      </c>
      <c r="U727" s="21">
        <v>1409.9562000000001</v>
      </c>
      <c r="V727" s="21">
        <v>703</v>
      </c>
      <c r="W727" s="21">
        <v>49.281300000000002</v>
      </c>
    </row>
    <row r="728" spans="2:23" x14ac:dyDescent="0.3">
      <c r="B728" s="21">
        <v>13800</v>
      </c>
      <c r="C728" s="21">
        <v>0.25</v>
      </c>
      <c r="D728" s="21">
        <v>0.05</v>
      </c>
      <c r="E728" s="21">
        <v>1425.9421</v>
      </c>
      <c r="F728" s="21">
        <v>703</v>
      </c>
      <c r="G728" s="21">
        <v>50.194000000000003</v>
      </c>
      <c r="J728" s="21">
        <v>13800</v>
      </c>
      <c r="K728" s="21">
        <v>0.25</v>
      </c>
      <c r="L728" s="21">
        <v>0.05</v>
      </c>
      <c r="M728" s="21">
        <v>1411.4887000000001</v>
      </c>
      <c r="N728" s="21">
        <v>703</v>
      </c>
      <c r="O728" s="21">
        <v>49.367400000000004</v>
      </c>
      <c r="R728" s="21">
        <v>13800</v>
      </c>
      <c r="S728" s="21">
        <v>0.25</v>
      </c>
      <c r="T728" s="21">
        <v>0.05</v>
      </c>
      <c r="U728" s="21">
        <v>1409.6960999999999</v>
      </c>
      <c r="V728" s="21">
        <v>703</v>
      </c>
      <c r="W728" s="21">
        <v>49.2667</v>
      </c>
    </row>
    <row r="729" spans="2:23" x14ac:dyDescent="0.3">
      <c r="B729" s="21">
        <v>14000</v>
      </c>
      <c r="C729" s="21">
        <v>0.25</v>
      </c>
      <c r="D729" s="21">
        <v>0.05</v>
      </c>
      <c r="E729" s="21">
        <v>1425.7933</v>
      </c>
      <c r="F729" s="21">
        <v>703</v>
      </c>
      <c r="G729" s="21">
        <v>50.185299999999998</v>
      </c>
      <c r="J729" s="21">
        <v>14000</v>
      </c>
      <c r="K729" s="21">
        <v>0.25</v>
      </c>
      <c r="L729" s="21">
        <v>0.05</v>
      </c>
      <c r="M729" s="21">
        <v>1411.2691</v>
      </c>
      <c r="N729" s="21">
        <v>703</v>
      </c>
      <c r="O729" s="21">
        <v>49.3551</v>
      </c>
      <c r="R729" s="21">
        <v>14000</v>
      </c>
      <c r="S729" s="21">
        <v>0.25</v>
      </c>
      <c r="T729" s="21">
        <v>0.05</v>
      </c>
      <c r="U729" s="21">
        <v>1409.4743000000001</v>
      </c>
      <c r="V729" s="21">
        <v>703</v>
      </c>
      <c r="W729" s="21">
        <v>49.254300000000001</v>
      </c>
    </row>
    <row r="730" spans="2:23" x14ac:dyDescent="0.3">
      <c r="B730" s="21">
        <v>14200</v>
      </c>
      <c r="C730" s="21">
        <v>0.25</v>
      </c>
      <c r="D730" s="21">
        <v>0.05</v>
      </c>
      <c r="E730" s="21">
        <v>1425.6755000000001</v>
      </c>
      <c r="F730" s="21">
        <v>703</v>
      </c>
      <c r="G730" s="21">
        <v>50.1785</v>
      </c>
      <c r="J730" s="21">
        <v>14200</v>
      </c>
      <c r="K730" s="21">
        <v>0.25</v>
      </c>
      <c r="L730" s="21">
        <v>0.05</v>
      </c>
      <c r="M730" s="21">
        <v>1411.0755999999999</v>
      </c>
      <c r="N730" s="21">
        <v>703</v>
      </c>
      <c r="O730" s="21">
        <v>49.344200000000001</v>
      </c>
      <c r="R730" s="21">
        <v>14200</v>
      </c>
      <c r="S730" s="21">
        <v>0.25</v>
      </c>
      <c r="T730" s="21">
        <v>0.05</v>
      </c>
      <c r="U730" s="21">
        <v>1409.2795000000001</v>
      </c>
      <c r="V730" s="21">
        <v>703</v>
      </c>
      <c r="W730" s="21">
        <v>49.243400000000001</v>
      </c>
    </row>
    <row r="731" spans="2:23" x14ac:dyDescent="0.3">
      <c r="B731" s="21">
        <v>14400</v>
      </c>
      <c r="C731" s="21">
        <v>0.25</v>
      </c>
      <c r="D731" s="21">
        <v>0.05</v>
      </c>
      <c r="E731" s="21">
        <v>1425.586</v>
      </c>
      <c r="F731" s="21">
        <v>703</v>
      </c>
      <c r="G731" s="21">
        <v>50.173299999999998</v>
      </c>
      <c r="J731" s="21">
        <v>14400</v>
      </c>
      <c r="K731" s="21">
        <v>0.25</v>
      </c>
      <c r="L731" s="21">
        <v>0.05</v>
      </c>
      <c r="M731" s="21">
        <v>1410.9196999999999</v>
      </c>
      <c r="N731" s="21">
        <v>703</v>
      </c>
      <c r="O731" s="21">
        <v>49.3354</v>
      </c>
      <c r="R731" s="21">
        <v>14400</v>
      </c>
      <c r="S731" s="21">
        <v>0.25</v>
      </c>
      <c r="T731" s="21">
        <v>0.05</v>
      </c>
      <c r="U731" s="21">
        <v>1409.1139000000001</v>
      </c>
      <c r="V731" s="21">
        <v>703</v>
      </c>
      <c r="W731" s="21">
        <v>49.234099999999998</v>
      </c>
    </row>
    <row r="732" spans="2:23" x14ac:dyDescent="0.3">
      <c r="B732" s="21">
        <v>14600</v>
      </c>
      <c r="C732" s="21">
        <v>0.25</v>
      </c>
      <c r="D732" s="21">
        <v>0.05</v>
      </c>
      <c r="E732" s="21">
        <v>1425.4970000000001</v>
      </c>
      <c r="F732" s="21">
        <v>703</v>
      </c>
      <c r="G732" s="21">
        <v>50.168100000000003</v>
      </c>
      <c r="J732" s="21">
        <v>14600</v>
      </c>
      <c r="K732" s="21">
        <v>0.25</v>
      </c>
      <c r="L732" s="21">
        <v>0.05</v>
      </c>
      <c r="M732" s="21">
        <v>1410.7854</v>
      </c>
      <c r="N732" s="21">
        <v>703</v>
      </c>
      <c r="O732" s="21">
        <v>49.3279</v>
      </c>
      <c r="R732" s="21">
        <v>14600</v>
      </c>
      <c r="S732" s="21">
        <v>0.25</v>
      </c>
      <c r="T732" s="21">
        <v>0.05</v>
      </c>
      <c r="U732" s="21">
        <v>1408.9735000000001</v>
      </c>
      <c r="V732" s="21">
        <v>703</v>
      </c>
      <c r="W732" s="21">
        <v>49.226199999999999</v>
      </c>
    </row>
    <row r="733" spans="2:23" x14ac:dyDescent="0.3">
      <c r="B733" s="21">
        <v>14800</v>
      </c>
      <c r="C733" s="21">
        <v>0.25</v>
      </c>
      <c r="D733" s="21">
        <v>0.05</v>
      </c>
      <c r="E733" s="21">
        <v>1425.4084</v>
      </c>
      <c r="F733" s="21">
        <v>703</v>
      </c>
      <c r="G733" s="21">
        <v>50.162999999999997</v>
      </c>
      <c r="J733" s="21">
        <v>14800</v>
      </c>
      <c r="K733" s="21">
        <v>0.25</v>
      </c>
      <c r="L733" s="21">
        <v>0.05</v>
      </c>
      <c r="M733" s="21">
        <v>1410.6702</v>
      </c>
      <c r="N733" s="21">
        <v>703</v>
      </c>
      <c r="O733" s="21">
        <v>49.321399999999997</v>
      </c>
      <c r="R733" s="21">
        <v>14800</v>
      </c>
      <c r="S733" s="21">
        <v>0.25</v>
      </c>
      <c r="T733" s="21">
        <v>0.05</v>
      </c>
      <c r="U733" s="21">
        <v>1408.8489</v>
      </c>
      <c r="V733" s="21">
        <v>703</v>
      </c>
      <c r="W733" s="21">
        <v>49.219200000000001</v>
      </c>
    </row>
    <row r="734" spans="2:23" x14ac:dyDescent="0.3">
      <c r="B734" s="21">
        <v>15000</v>
      </c>
      <c r="C734" s="21">
        <v>0.25</v>
      </c>
      <c r="D734" s="21">
        <v>0.05</v>
      </c>
      <c r="E734" s="21">
        <v>1425.3501000000001</v>
      </c>
      <c r="F734" s="21">
        <v>703</v>
      </c>
      <c r="G734" s="21">
        <v>50.159599999999998</v>
      </c>
      <c r="J734" s="21">
        <v>15000</v>
      </c>
      <c r="K734" s="21">
        <v>0.25</v>
      </c>
      <c r="L734" s="21">
        <v>0.05</v>
      </c>
      <c r="M734" s="21">
        <v>1410.5735</v>
      </c>
      <c r="N734" s="21">
        <v>703</v>
      </c>
      <c r="O734" s="21">
        <v>49.315899999999999</v>
      </c>
      <c r="R734" s="21">
        <v>15000</v>
      </c>
      <c r="S734" s="21">
        <v>0.25</v>
      </c>
      <c r="T734" s="21">
        <v>0.05</v>
      </c>
      <c r="U734" s="21">
        <v>1408.7438999999999</v>
      </c>
      <c r="V734" s="21">
        <v>703</v>
      </c>
      <c r="W734" s="21">
        <v>49.2134</v>
      </c>
    </row>
    <row r="735" spans="2:23" x14ac:dyDescent="0.3">
      <c r="B735" s="21">
        <v>15200</v>
      </c>
      <c r="C735" s="21">
        <v>0.25</v>
      </c>
      <c r="D735" s="21">
        <v>0.05</v>
      </c>
      <c r="E735" s="21">
        <v>1425.2918999999999</v>
      </c>
      <c r="F735" s="21">
        <v>703</v>
      </c>
      <c r="G735" s="21">
        <v>50.156199999999998</v>
      </c>
      <c r="J735" s="21">
        <v>15200</v>
      </c>
      <c r="K735" s="21">
        <v>0.25</v>
      </c>
      <c r="L735" s="21">
        <v>0.05</v>
      </c>
      <c r="M735" s="21">
        <v>1410.4802999999999</v>
      </c>
      <c r="N735" s="21">
        <v>703</v>
      </c>
      <c r="O735" s="21">
        <v>49.310699999999997</v>
      </c>
      <c r="R735" s="21">
        <v>15200</v>
      </c>
      <c r="S735" s="21">
        <v>0.25</v>
      </c>
      <c r="T735" s="21">
        <v>0.05</v>
      </c>
      <c r="U735" s="21">
        <v>1408.6558</v>
      </c>
      <c r="V735" s="21">
        <v>703</v>
      </c>
      <c r="W735" s="21">
        <v>49.208399999999997</v>
      </c>
    </row>
    <row r="736" spans="2:23" x14ac:dyDescent="0.3">
      <c r="B736" s="21">
        <v>15400</v>
      </c>
      <c r="C736" s="21">
        <v>0.25</v>
      </c>
      <c r="D736" s="21">
        <v>0.05</v>
      </c>
      <c r="E736" s="21">
        <v>1425.2339999999999</v>
      </c>
      <c r="F736" s="21">
        <v>703</v>
      </c>
      <c r="G736" s="21">
        <v>50.152900000000002</v>
      </c>
      <c r="J736" s="21">
        <v>15400</v>
      </c>
      <c r="K736" s="21">
        <v>0.25</v>
      </c>
      <c r="L736" s="21">
        <v>0.05</v>
      </c>
      <c r="M736" s="21">
        <v>1410.4031</v>
      </c>
      <c r="N736" s="21">
        <v>703</v>
      </c>
      <c r="O736" s="21">
        <v>49.306399999999996</v>
      </c>
      <c r="R736" s="21">
        <v>15400</v>
      </c>
      <c r="S736" s="21">
        <v>0.25</v>
      </c>
      <c r="T736" s="21">
        <v>0.05</v>
      </c>
      <c r="U736" s="21">
        <v>1408.5764999999999</v>
      </c>
      <c r="V736" s="21">
        <v>703</v>
      </c>
      <c r="W736" s="21">
        <v>49.204000000000001</v>
      </c>
    </row>
    <row r="737" spans="2:23" x14ac:dyDescent="0.3">
      <c r="B737" s="21">
        <v>15600</v>
      </c>
      <c r="C737" s="21">
        <v>0.25</v>
      </c>
      <c r="D737" s="21">
        <v>0.05</v>
      </c>
      <c r="E737" s="21">
        <v>1425.2038</v>
      </c>
      <c r="F737" s="21">
        <v>703</v>
      </c>
      <c r="G737" s="21">
        <v>50.1511</v>
      </c>
      <c r="J737" s="21">
        <v>15600</v>
      </c>
      <c r="K737" s="21">
        <v>0.25</v>
      </c>
      <c r="L737" s="21">
        <v>0.05</v>
      </c>
      <c r="M737" s="21">
        <v>1410.3422</v>
      </c>
      <c r="N737" s="21">
        <v>703</v>
      </c>
      <c r="O737" s="21">
        <v>49.302999999999997</v>
      </c>
      <c r="R737" s="21">
        <v>15600</v>
      </c>
      <c r="S737" s="21">
        <v>0.25</v>
      </c>
      <c r="T737" s="21">
        <v>0.05</v>
      </c>
      <c r="U737" s="21">
        <v>1408.5109</v>
      </c>
      <c r="V737" s="21">
        <v>703</v>
      </c>
      <c r="W737" s="21">
        <v>49.200299999999999</v>
      </c>
    </row>
    <row r="738" spans="2:23" x14ac:dyDescent="0.3">
      <c r="B738" s="21">
        <v>15800</v>
      </c>
      <c r="C738" s="21">
        <v>0.25</v>
      </c>
      <c r="D738" s="21">
        <v>0.05</v>
      </c>
      <c r="E738" s="21">
        <v>1425.1737000000001</v>
      </c>
      <c r="F738" s="21">
        <v>703</v>
      </c>
      <c r="G738" s="21">
        <v>50.1494</v>
      </c>
      <c r="J738" s="21">
        <v>15800</v>
      </c>
      <c r="K738" s="21">
        <v>0.25</v>
      </c>
      <c r="L738" s="21">
        <v>0.05</v>
      </c>
      <c r="M738" s="21">
        <v>1410.2828</v>
      </c>
      <c r="N738" s="21">
        <v>703</v>
      </c>
      <c r="O738" s="21">
        <v>49.299599999999998</v>
      </c>
      <c r="R738" s="21">
        <v>15800</v>
      </c>
      <c r="S738" s="21">
        <v>0.25</v>
      </c>
      <c r="T738" s="21">
        <v>0.05</v>
      </c>
      <c r="U738" s="21">
        <v>1408.4512999999999</v>
      </c>
      <c r="V738" s="21">
        <v>703</v>
      </c>
      <c r="W738" s="21">
        <v>49.197000000000003</v>
      </c>
    </row>
    <row r="739" spans="2:23" x14ac:dyDescent="0.3">
      <c r="B739" s="21">
        <v>16000</v>
      </c>
      <c r="C739" s="21">
        <v>0.25</v>
      </c>
      <c r="D739" s="21">
        <v>0.05</v>
      </c>
      <c r="E739" s="21">
        <v>1425.1436000000001</v>
      </c>
      <c r="F739" s="21">
        <v>703</v>
      </c>
      <c r="G739" s="21">
        <v>50.147599999999997</v>
      </c>
      <c r="J739" s="21">
        <v>16000</v>
      </c>
      <c r="K739" s="21">
        <v>0.25</v>
      </c>
      <c r="L739" s="21">
        <v>0.05</v>
      </c>
      <c r="M739" s="21">
        <v>1410.2379000000001</v>
      </c>
      <c r="N739" s="21">
        <v>703</v>
      </c>
      <c r="O739" s="21">
        <v>49.2971</v>
      </c>
      <c r="R739" s="21">
        <v>16000</v>
      </c>
      <c r="S739" s="21">
        <v>0.25</v>
      </c>
      <c r="T739" s="21">
        <v>0.05</v>
      </c>
      <c r="U739" s="21">
        <v>1408.4027000000001</v>
      </c>
      <c r="V739" s="21">
        <v>703</v>
      </c>
      <c r="W739" s="21">
        <v>49.194299999999998</v>
      </c>
    </row>
    <row r="740" spans="2:23" x14ac:dyDescent="0.3">
      <c r="B740" s="21">
        <v>16200</v>
      </c>
      <c r="C740" s="21">
        <v>0.25</v>
      </c>
      <c r="D740" s="21">
        <v>0.05</v>
      </c>
      <c r="E740" s="21">
        <v>1425.1135999999999</v>
      </c>
      <c r="F740" s="21">
        <v>703</v>
      </c>
      <c r="G740" s="21">
        <v>50.145899999999997</v>
      </c>
      <c r="J740" s="21">
        <v>16200</v>
      </c>
      <c r="K740" s="21">
        <v>0.25</v>
      </c>
      <c r="L740" s="21">
        <v>0.05</v>
      </c>
      <c r="M740" s="21">
        <v>1410.1938</v>
      </c>
      <c r="N740" s="21">
        <v>703</v>
      </c>
      <c r="O740" s="21">
        <v>49.294600000000003</v>
      </c>
      <c r="R740" s="21">
        <v>16200</v>
      </c>
      <c r="S740" s="21">
        <v>0.25</v>
      </c>
      <c r="T740" s="21">
        <v>0.05</v>
      </c>
      <c r="U740" s="21">
        <v>1408.3579999999999</v>
      </c>
      <c r="V740" s="21">
        <v>703</v>
      </c>
      <c r="W740" s="21">
        <v>49.191800000000001</v>
      </c>
    </row>
    <row r="741" spans="2:23" x14ac:dyDescent="0.3">
      <c r="B741" s="21">
        <v>16400</v>
      </c>
      <c r="C741" s="21">
        <v>0.25</v>
      </c>
      <c r="D741" s="21">
        <v>0.05</v>
      </c>
      <c r="E741" s="21">
        <v>1425.0835999999999</v>
      </c>
      <c r="F741" s="21">
        <v>703</v>
      </c>
      <c r="G741" s="21">
        <v>50.144100000000002</v>
      </c>
      <c r="J741" s="21">
        <v>16400</v>
      </c>
      <c r="K741" s="21">
        <v>0.25</v>
      </c>
      <c r="L741" s="21">
        <v>0.05</v>
      </c>
      <c r="M741" s="21">
        <v>1410.1646000000001</v>
      </c>
      <c r="N741" s="21">
        <v>703</v>
      </c>
      <c r="O741" s="21">
        <v>49.292999999999999</v>
      </c>
      <c r="R741" s="21">
        <v>16400</v>
      </c>
      <c r="S741" s="21">
        <v>0.25</v>
      </c>
      <c r="T741" s="21">
        <v>0.05</v>
      </c>
      <c r="U741" s="21">
        <v>1408.3226999999999</v>
      </c>
      <c r="V741" s="21">
        <v>703</v>
      </c>
      <c r="W741" s="21">
        <v>49.189799999999998</v>
      </c>
    </row>
    <row r="742" spans="2:23" x14ac:dyDescent="0.3">
      <c r="B742" s="21">
        <v>16600</v>
      </c>
      <c r="C742" s="21">
        <v>0.25</v>
      </c>
      <c r="D742" s="21">
        <v>0.05</v>
      </c>
      <c r="E742" s="21">
        <v>1425.0825</v>
      </c>
      <c r="F742" s="21">
        <v>703</v>
      </c>
      <c r="G742" s="21">
        <v>50.144100000000002</v>
      </c>
      <c r="J742" s="21">
        <v>16600</v>
      </c>
      <c r="K742" s="21">
        <v>0.25</v>
      </c>
      <c r="L742" s="21">
        <v>0.05</v>
      </c>
      <c r="M742" s="21">
        <v>1410.1357</v>
      </c>
      <c r="N742" s="21">
        <v>703</v>
      </c>
      <c r="O742" s="21">
        <v>49.291400000000003</v>
      </c>
      <c r="R742" s="21">
        <v>16600</v>
      </c>
      <c r="S742" s="21">
        <v>0.25</v>
      </c>
      <c r="T742" s="21">
        <v>0.05</v>
      </c>
      <c r="U742" s="21">
        <v>1408.2899</v>
      </c>
      <c r="V742" s="21">
        <v>703</v>
      </c>
      <c r="W742" s="21">
        <v>49.188000000000002</v>
      </c>
    </row>
    <row r="743" spans="2:23" x14ac:dyDescent="0.3">
      <c r="B743" s="21">
        <v>16800</v>
      </c>
      <c r="C743" s="21">
        <v>0.25</v>
      </c>
      <c r="D743" s="21">
        <v>0.05</v>
      </c>
      <c r="E743" s="21">
        <v>1425.0814</v>
      </c>
      <c r="F743" s="21">
        <v>703</v>
      </c>
      <c r="G743" s="21">
        <v>50.143999999999998</v>
      </c>
      <c r="J743" s="21">
        <v>16800</v>
      </c>
      <c r="K743" s="21">
        <v>0.25</v>
      </c>
      <c r="L743" s="21">
        <v>0.05</v>
      </c>
      <c r="M743" s="21">
        <v>1410.1071999999999</v>
      </c>
      <c r="N743" s="21">
        <v>703</v>
      </c>
      <c r="O743" s="21">
        <v>49.2898</v>
      </c>
      <c r="R743" s="21">
        <v>16800</v>
      </c>
      <c r="S743" s="21">
        <v>0.25</v>
      </c>
      <c r="T743" s="21">
        <v>0.05</v>
      </c>
      <c r="U743" s="21">
        <v>1408.2651000000001</v>
      </c>
      <c r="V743" s="21">
        <v>703</v>
      </c>
      <c r="W743" s="21">
        <v>49.186599999999999</v>
      </c>
    </row>
    <row r="744" spans="2:23" x14ac:dyDescent="0.3">
      <c r="B744" s="21">
        <v>17000</v>
      </c>
      <c r="C744" s="21">
        <v>0.25</v>
      </c>
      <c r="D744" s="21">
        <v>0.05</v>
      </c>
      <c r="E744" s="21">
        <v>1425.0803000000001</v>
      </c>
      <c r="F744" s="21">
        <v>703</v>
      </c>
      <c r="G744" s="21">
        <v>50.143999999999998</v>
      </c>
      <c r="J744" s="21">
        <v>17000</v>
      </c>
      <c r="K744" s="21">
        <v>0.25</v>
      </c>
      <c r="L744" s="21">
        <v>0.05</v>
      </c>
      <c r="M744" s="21">
        <v>1410.0790999999999</v>
      </c>
      <c r="N744" s="21">
        <v>703</v>
      </c>
      <c r="O744" s="21">
        <v>49.288200000000003</v>
      </c>
      <c r="R744" s="21">
        <v>17000</v>
      </c>
      <c r="S744" s="21">
        <v>0.25</v>
      </c>
      <c r="T744" s="21">
        <v>0.05</v>
      </c>
      <c r="U744" s="21">
        <v>1408.2417</v>
      </c>
      <c r="V744" s="21">
        <v>703</v>
      </c>
      <c r="W744" s="21">
        <v>49.185299999999998</v>
      </c>
    </row>
    <row r="745" spans="2:23" x14ac:dyDescent="0.3">
      <c r="B745" s="21">
        <v>17200</v>
      </c>
      <c r="C745" s="21">
        <v>0.25</v>
      </c>
      <c r="D745" s="21">
        <v>0.05</v>
      </c>
      <c r="E745" s="21">
        <v>1425.0791999999999</v>
      </c>
      <c r="F745" s="21">
        <v>703</v>
      </c>
      <c r="G745" s="21">
        <v>50.143900000000002</v>
      </c>
      <c r="J745" s="21">
        <v>17200</v>
      </c>
      <c r="K745" s="21">
        <v>0.25</v>
      </c>
      <c r="L745" s="21">
        <v>0.05</v>
      </c>
      <c r="M745" s="21">
        <v>1410.0645</v>
      </c>
      <c r="N745" s="21">
        <v>703</v>
      </c>
      <c r="O745" s="21">
        <v>49.287399999999998</v>
      </c>
      <c r="R745" s="21">
        <v>17200</v>
      </c>
      <c r="S745" s="21">
        <v>0.25</v>
      </c>
      <c r="T745" s="21">
        <v>0.05</v>
      </c>
      <c r="U745" s="21">
        <v>1408.2255</v>
      </c>
      <c r="V745" s="21">
        <v>703</v>
      </c>
      <c r="W745" s="21">
        <v>49.184399999999997</v>
      </c>
    </row>
    <row r="746" spans="2:23" x14ac:dyDescent="0.3">
      <c r="B746" s="21">
        <v>17400</v>
      </c>
      <c r="C746" s="21">
        <v>0.25</v>
      </c>
      <c r="D746" s="21">
        <v>0.05</v>
      </c>
      <c r="E746" s="21">
        <v>1425.078</v>
      </c>
      <c r="F746" s="21">
        <v>703</v>
      </c>
      <c r="G746" s="21">
        <v>50.143799999999999</v>
      </c>
      <c r="J746" s="21">
        <v>17400</v>
      </c>
      <c r="K746" s="21">
        <v>0.25</v>
      </c>
      <c r="L746" s="21">
        <v>0.05</v>
      </c>
      <c r="M746" s="21">
        <v>1410.05</v>
      </c>
      <c r="N746" s="21">
        <v>703</v>
      </c>
      <c r="O746" s="21">
        <v>49.2866</v>
      </c>
      <c r="R746" s="21">
        <v>17400</v>
      </c>
      <c r="S746" s="21">
        <v>0.25</v>
      </c>
      <c r="T746" s="21">
        <v>0.05</v>
      </c>
      <c r="U746" s="21">
        <v>1408.2103</v>
      </c>
      <c r="V746" s="21">
        <v>703</v>
      </c>
      <c r="W746" s="21">
        <v>49.183500000000002</v>
      </c>
    </row>
    <row r="747" spans="2:23" x14ac:dyDescent="0.3">
      <c r="B747" s="21">
        <v>17600</v>
      </c>
      <c r="C747" s="21">
        <v>0.25</v>
      </c>
      <c r="D747" s="21">
        <v>0.05</v>
      </c>
      <c r="E747" s="21">
        <v>1425.0769</v>
      </c>
      <c r="F747" s="21">
        <v>703</v>
      </c>
      <c r="G747" s="21">
        <v>50.143799999999999</v>
      </c>
      <c r="J747" s="21">
        <v>17600</v>
      </c>
      <c r="K747" s="21">
        <v>0.25</v>
      </c>
      <c r="L747" s="21">
        <v>0.05</v>
      </c>
      <c r="M747" s="21">
        <v>1410.0355999999999</v>
      </c>
      <c r="N747" s="21">
        <v>703</v>
      </c>
      <c r="O747" s="21">
        <v>49.285699999999999</v>
      </c>
      <c r="R747" s="21">
        <v>17600</v>
      </c>
      <c r="S747" s="21">
        <v>0.25</v>
      </c>
      <c r="T747" s="21">
        <v>0.05</v>
      </c>
      <c r="U747" s="21">
        <v>1408.1958</v>
      </c>
      <c r="V747" s="21">
        <v>703</v>
      </c>
      <c r="W747" s="21">
        <v>49.182699999999997</v>
      </c>
    </row>
    <row r="748" spans="2:23" x14ac:dyDescent="0.3">
      <c r="B748" s="21">
        <v>17800</v>
      </c>
      <c r="C748" s="21">
        <v>0.25</v>
      </c>
      <c r="D748" s="21">
        <v>0.05</v>
      </c>
      <c r="E748" s="21">
        <v>1425.0758000000001</v>
      </c>
      <c r="F748" s="21">
        <v>703</v>
      </c>
      <c r="G748" s="21">
        <v>50.143700000000003</v>
      </c>
      <c r="J748" s="21">
        <v>17800</v>
      </c>
      <c r="K748" s="21">
        <v>0.25</v>
      </c>
      <c r="L748" s="21">
        <v>0.05</v>
      </c>
      <c r="M748" s="21">
        <v>1410.0213000000001</v>
      </c>
      <c r="N748" s="21">
        <v>703</v>
      </c>
      <c r="O748" s="21">
        <v>49.2849</v>
      </c>
      <c r="R748" s="21">
        <v>17800</v>
      </c>
      <c r="S748" s="21">
        <v>0.25</v>
      </c>
      <c r="T748" s="21">
        <v>0.05</v>
      </c>
      <c r="U748" s="21">
        <v>1408.1818000000001</v>
      </c>
      <c r="V748" s="21">
        <v>703</v>
      </c>
      <c r="W748" s="21">
        <v>49.181899999999999</v>
      </c>
    </row>
    <row r="749" spans="2:23" x14ac:dyDescent="0.3">
      <c r="B749" s="21">
        <v>18000</v>
      </c>
      <c r="C749" s="21">
        <v>0.25</v>
      </c>
      <c r="D749" s="21">
        <v>0.05</v>
      </c>
      <c r="E749" s="21">
        <v>1425.0746999999999</v>
      </c>
      <c r="F749" s="21">
        <v>703</v>
      </c>
      <c r="G749" s="21">
        <v>50.143599999999999</v>
      </c>
      <c r="J749" s="21">
        <v>18000</v>
      </c>
      <c r="K749" s="21">
        <v>0.25</v>
      </c>
      <c r="L749" s="21">
        <v>0.05</v>
      </c>
      <c r="M749" s="21">
        <v>1410.0071</v>
      </c>
      <c r="N749" s="21">
        <v>703</v>
      </c>
      <c r="O749" s="21">
        <v>49.284100000000002</v>
      </c>
      <c r="R749" s="21">
        <v>18000</v>
      </c>
      <c r="S749" s="21">
        <v>0.25</v>
      </c>
      <c r="T749" s="21">
        <v>0.05</v>
      </c>
      <c r="U749" s="21">
        <v>1408.1744000000001</v>
      </c>
      <c r="V749" s="21">
        <v>703</v>
      </c>
      <c r="W749" s="21">
        <v>49.1815</v>
      </c>
    </row>
    <row r="750" spans="2:23" x14ac:dyDescent="0.3">
      <c r="B750" s="21">
        <v>18200</v>
      </c>
      <c r="C750" s="21">
        <v>0.25</v>
      </c>
      <c r="D750" s="21">
        <v>0.05</v>
      </c>
      <c r="E750" s="21">
        <v>1425.0735999999999</v>
      </c>
      <c r="F750" s="21">
        <v>703</v>
      </c>
      <c r="G750" s="21">
        <v>50.143599999999999</v>
      </c>
      <c r="J750" s="21">
        <v>18200</v>
      </c>
      <c r="K750" s="21">
        <v>0.25</v>
      </c>
      <c r="L750" s="21">
        <v>0.05</v>
      </c>
      <c r="M750" s="21">
        <v>1409.9929</v>
      </c>
      <c r="N750" s="21">
        <v>703</v>
      </c>
      <c r="O750" s="21">
        <v>49.2834</v>
      </c>
      <c r="R750" s="21">
        <v>18200</v>
      </c>
      <c r="S750" s="21">
        <v>0.25</v>
      </c>
      <c r="T750" s="21">
        <v>0.05</v>
      </c>
      <c r="U750" s="21">
        <v>1408.1672000000001</v>
      </c>
      <c r="V750" s="21">
        <v>703</v>
      </c>
      <c r="W750" s="21">
        <v>49.181100000000001</v>
      </c>
    </row>
    <row r="751" spans="2:23" x14ac:dyDescent="0.3">
      <c r="B751" s="21">
        <v>18400</v>
      </c>
      <c r="C751" s="21">
        <v>0.25</v>
      </c>
      <c r="D751" s="21">
        <v>0.05</v>
      </c>
      <c r="E751" s="21">
        <v>1425.0725</v>
      </c>
      <c r="F751" s="21">
        <v>703</v>
      </c>
      <c r="G751" s="21">
        <v>50.143500000000003</v>
      </c>
      <c r="J751" s="21">
        <v>18400</v>
      </c>
      <c r="K751" s="21">
        <v>0.25</v>
      </c>
      <c r="L751" s="21">
        <v>0.05</v>
      </c>
      <c r="M751" s="21">
        <v>1409.9924000000001</v>
      </c>
      <c r="N751" s="21">
        <v>703</v>
      </c>
      <c r="O751" s="21">
        <v>49.283299999999997</v>
      </c>
      <c r="R751" s="21">
        <v>18400</v>
      </c>
      <c r="S751" s="21">
        <v>0.25</v>
      </c>
      <c r="T751" s="21">
        <v>0.05</v>
      </c>
      <c r="U751" s="21">
        <v>1408.1602</v>
      </c>
      <c r="V751" s="21">
        <v>703</v>
      </c>
      <c r="W751" s="21">
        <v>49.180700000000002</v>
      </c>
    </row>
    <row r="752" spans="2:23" x14ac:dyDescent="0.3">
      <c r="K752" s="2"/>
      <c r="L752" s="2"/>
      <c r="M752" s="2"/>
      <c r="N752" s="2"/>
      <c r="O752" s="2"/>
      <c r="S752" s="2"/>
      <c r="T752" s="2"/>
      <c r="U752" s="2"/>
      <c r="V752" s="2"/>
      <c r="W752" s="2"/>
    </row>
    <row r="753" spans="2:23" x14ac:dyDescent="0.3">
      <c r="K753" s="2"/>
      <c r="L753" s="2"/>
      <c r="M753" s="2"/>
      <c r="N753" s="2"/>
      <c r="O753" s="2"/>
      <c r="S753" s="2"/>
      <c r="T753" s="2"/>
      <c r="U753" s="2"/>
      <c r="V753" s="2"/>
      <c r="W753" s="2"/>
    </row>
    <row r="754" spans="2:23" ht="16.2" thickBot="1" x14ac:dyDescent="0.35">
      <c r="B754" s="1" t="s">
        <v>19</v>
      </c>
      <c r="C754" s="42" t="s">
        <v>20</v>
      </c>
      <c r="D754" s="42"/>
      <c r="E754" s="42"/>
      <c r="J754" s="1" t="s">
        <v>19</v>
      </c>
      <c r="K754" s="42" t="s">
        <v>21</v>
      </c>
      <c r="L754" s="42"/>
      <c r="M754" s="42"/>
      <c r="N754" s="2"/>
      <c r="O754" s="2"/>
      <c r="R754" s="1" t="s">
        <v>19</v>
      </c>
      <c r="S754" s="42" t="s">
        <v>22</v>
      </c>
      <c r="T754" s="42"/>
      <c r="U754" s="42"/>
      <c r="V754" s="2"/>
      <c r="W754" s="2"/>
    </row>
    <row r="755" spans="2:23" x14ac:dyDescent="0.3">
      <c r="B755" s="3"/>
      <c r="C755" s="31" t="s">
        <v>6</v>
      </c>
      <c r="D755" s="30" t="s">
        <v>7</v>
      </c>
      <c r="E755" s="28"/>
      <c r="J755" s="3"/>
      <c r="K755" s="31" t="s">
        <v>6</v>
      </c>
      <c r="L755" s="30" t="s">
        <v>7</v>
      </c>
      <c r="M755" s="28"/>
      <c r="N755" s="2"/>
      <c r="O755" s="2"/>
      <c r="R755" s="3"/>
      <c r="S755" s="31" t="s">
        <v>6</v>
      </c>
      <c r="T755" s="30" t="s">
        <v>7</v>
      </c>
      <c r="U755" s="28"/>
      <c r="V755" s="2"/>
      <c r="W755" s="2"/>
    </row>
    <row r="756" spans="2:23" ht="16.2" thickBot="1" x14ac:dyDescent="0.35">
      <c r="B756" s="25" t="s">
        <v>13</v>
      </c>
      <c r="C756" s="33">
        <v>241</v>
      </c>
      <c r="D756" s="34">
        <v>241</v>
      </c>
      <c r="E756" s="29"/>
      <c r="J756" s="25" t="s">
        <v>13</v>
      </c>
      <c r="K756" s="33">
        <v>121</v>
      </c>
      <c r="L756" s="34">
        <v>121</v>
      </c>
      <c r="M756" s="29"/>
      <c r="N756" s="2"/>
      <c r="O756" s="2"/>
      <c r="R756" s="25" t="s">
        <v>13</v>
      </c>
      <c r="S756" s="33">
        <v>61</v>
      </c>
      <c r="T756" s="34">
        <v>61</v>
      </c>
      <c r="U756" s="29"/>
      <c r="V756" s="2"/>
      <c r="W756" s="2"/>
    </row>
    <row r="757" spans="2:23" x14ac:dyDescent="0.3">
      <c r="B757" s="26" t="s">
        <v>14</v>
      </c>
      <c r="C757" s="35">
        <v>200</v>
      </c>
      <c r="D757" s="32"/>
      <c r="E757" s="29"/>
      <c r="J757" s="26" t="s">
        <v>14</v>
      </c>
      <c r="K757" s="35">
        <v>200</v>
      </c>
      <c r="L757" s="32"/>
      <c r="M757" s="29"/>
      <c r="N757" s="2"/>
      <c r="O757" s="2"/>
      <c r="R757" s="26" t="s">
        <v>14</v>
      </c>
      <c r="S757" s="35">
        <v>200</v>
      </c>
      <c r="T757" s="32"/>
      <c r="U757" s="29"/>
      <c r="V757" s="2"/>
      <c r="W757" s="2"/>
    </row>
    <row r="758" spans="2:23" ht="16.2" thickBot="1" x14ac:dyDescent="0.35">
      <c r="B758" s="26" t="s">
        <v>15</v>
      </c>
      <c r="C758" s="21" t="s">
        <v>12</v>
      </c>
      <c r="D758" s="32"/>
      <c r="E758" s="29"/>
      <c r="J758" s="26" t="s">
        <v>15</v>
      </c>
      <c r="K758" s="21" t="s">
        <v>12</v>
      </c>
      <c r="L758" s="32"/>
      <c r="M758" s="29"/>
      <c r="N758" s="2"/>
      <c r="O758" s="2"/>
      <c r="R758" s="26" t="s">
        <v>15</v>
      </c>
      <c r="S758" s="21" t="s">
        <v>12</v>
      </c>
      <c r="T758" s="32"/>
      <c r="U758" s="29"/>
      <c r="V758" s="2"/>
      <c r="W758" s="2"/>
    </row>
    <row r="759" spans="2:23" x14ac:dyDescent="0.3">
      <c r="B759" s="26" t="s">
        <v>16</v>
      </c>
      <c r="C759" s="36">
        <v>1E-3</v>
      </c>
      <c r="D759" s="31" t="s">
        <v>6</v>
      </c>
      <c r="E759" s="30" t="s">
        <v>7</v>
      </c>
      <c r="J759" s="26" t="s">
        <v>16</v>
      </c>
      <c r="K759" s="36">
        <v>1E-3</v>
      </c>
      <c r="L759" s="31" t="s">
        <v>6</v>
      </c>
      <c r="M759" s="30" t="s">
        <v>7</v>
      </c>
      <c r="N759" s="2"/>
      <c r="O759" s="2"/>
      <c r="R759" s="26" t="s">
        <v>16</v>
      </c>
      <c r="S759" s="36">
        <v>1E-3</v>
      </c>
      <c r="T759" s="31" t="s">
        <v>6</v>
      </c>
      <c r="U759" s="30" t="s">
        <v>7</v>
      </c>
      <c r="V759" s="2"/>
      <c r="W759" s="2"/>
    </row>
    <row r="760" spans="2:23" ht="16.2" thickBot="1" x14ac:dyDescent="0.35">
      <c r="B760" s="27" t="s">
        <v>18</v>
      </c>
      <c r="C760" s="37">
        <v>8</v>
      </c>
      <c r="D760" s="23">
        <f>VLOOKUP(C760,$J$4:$L$12,2,FALSE)</f>
        <v>0.5</v>
      </c>
      <c r="E760" s="24">
        <f>VLOOKUP(C760,$J$4:$L$12,3,FALSE)</f>
        <v>0.05</v>
      </c>
      <c r="J760" s="27" t="s">
        <v>18</v>
      </c>
      <c r="K760" s="37">
        <v>8</v>
      </c>
      <c r="L760" s="23">
        <f>VLOOKUP(K760,$J$4:$L$12,2,FALSE)</f>
        <v>0.5</v>
      </c>
      <c r="M760" s="24">
        <f>VLOOKUP(K760,$J$4:$L$12,3,FALSE)</f>
        <v>0.05</v>
      </c>
      <c r="N760" s="2"/>
      <c r="O760" s="2"/>
      <c r="R760" s="27" t="s">
        <v>18</v>
      </c>
      <c r="S760" s="37">
        <v>8</v>
      </c>
      <c r="T760" s="23">
        <f>VLOOKUP(S760,$J$4:$L$12,2,FALSE)</f>
        <v>0.5</v>
      </c>
      <c r="U760" s="24">
        <f>VLOOKUP(S760,$J$4:$L$12,3,FALSE)</f>
        <v>0.05</v>
      </c>
      <c r="V760" s="2"/>
      <c r="W760" s="2"/>
    </row>
    <row r="761" spans="2:23" x14ac:dyDescent="0.3">
      <c r="K761" s="2"/>
      <c r="L761" s="2"/>
      <c r="M761" s="2"/>
      <c r="N761" s="2"/>
      <c r="O761" s="2"/>
      <c r="S761" s="2"/>
      <c r="T761" s="2"/>
      <c r="U761" s="2"/>
      <c r="V761" s="2"/>
      <c r="W761" s="2"/>
    </row>
    <row r="762" spans="2:23" x14ac:dyDescent="0.3">
      <c r="B762" s="38" t="s">
        <v>0</v>
      </c>
      <c r="C762" s="39" t="s">
        <v>1</v>
      </c>
      <c r="D762" s="39" t="s">
        <v>2</v>
      </c>
      <c r="E762" s="39" t="s">
        <v>3</v>
      </c>
      <c r="F762" s="39" t="s">
        <v>4</v>
      </c>
      <c r="G762" s="39" t="s">
        <v>5</v>
      </c>
      <c r="J762" s="38" t="s">
        <v>0</v>
      </c>
      <c r="K762" s="39" t="s">
        <v>1</v>
      </c>
      <c r="L762" s="39" t="s">
        <v>2</v>
      </c>
      <c r="M762" s="39" t="s">
        <v>3</v>
      </c>
      <c r="N762" s="39" t="s">
        <v>4</v>
      </c>
      <c r="O762" s="39" t="s">
        <v>5</v>
      </c>
      <c r="R762" s="38" t="s">
        <v>0</v>
      </c>
      <c r="S762" s="39" t="s">
        <v>1</v>
      </c>
      <c r="T762" s="39" t="s">
        <v>2</v>
      </c>
      <c r="U762" s="39" t="s">
        <v>3</v>
      </c>
      <c r="V762" s="39" t="s">
        <v>4</v>
      </c>
      <c r="W762" s="39" t="s">
        <v>5</v>
      </c>
    </row>
    <row r="763" spans="2:23" x14ac:dyDescent="0.3">
      <c r="B763" s="21">
        <v>0</v>
      </c>
      <c r="C763" s="21">
        <v>0.5</v>
      </c>
      <c r="D763" s="21">
        <v>0.05</v>
      </c>
      <c r="E763" s="21">
        <v>300</v>
      </c>
      <c r="F763" s="21">
        <v>478.57299999999998</v>
      </c>
      <c r="G763" s="21">
        <v>62.213700000000003</v>
      </c>
      <c r="J763" s="21">
        <v>0</v>
      </c>
      <c r="K763" s="21">
        <v>0.5</v>
      </c>
      <c r="L763" s="21">
        <v>0.05</v>
      </c>
      <c r="M763" s="21">
        <v>300</v>
      </c>
      <c r="N763" s="21">
        <v>478.57299999999998</v>
      </c>
      <c r="O763" s="21">
        <v>62.213700000000003</v>
      </c>
      <c r="R763" s="21">
        <v>0</v>
      </c>
      <c r="S763" s="21">
        <v>0.5</v>
      </c>
      <c r="T763" s="21">
        <v>0.05</v>
      </c>
      <c r="U763" s="21">
        <v>300</v>
      </c>
      <c r="V763" s="21">
        <v>478.57299999999998</v>
      </c>
      <c r="W763" s="21">
        <v>62.213700000000003</v>
      </c>
    </row>
    <row r="764" spans="2:23" x14ac:dyDescent="0.3">
      <c r="B764" s="21">
        <v>200</v>
      </c>
      <c r="C764" s="21">
        <v>0.5</v>
      </c>
      <c r="D764" s="21">
        <v>0.05</v>
      </c>
      <c r="E764" s="21">
        <v>349.45830000000001</v>
      </c>
      <c r="F764" s="21">
        <v>456.78190000000001</v>
      </c>
      <c r="G764" s="21">
        <v>60.298999999999999</v>
      </c>
      <c r="J764" s="21">
        <v>200</v>
      </c>
      <c r="K764" s="21">
        <v>0.5</v>
      </c>
      <c r="L764" s="21">
        <v>0.05</v>
      </c>
      <c r="M764" s="21">
        <v>352.48540000000003</v>
      </c>
      <c r="N764" s="21">
        <v>456.5772</v>
      </c>
      <c r="O764" s="21">
        <v>60.174799999999998</v>
      </c>
      <c r="R764" s="21">
        <v>200</v>
      </c>
      <c r="S764" s="21">
        <v>0.5</v>
      </c>
      <c r="T764" s="21">
        <v>0.05</v>
      </c>
      <c r="U764" s="21">
        <v>352.87979999999999</v>
      </c>
      <c r="V764" s="21">
        <v>456.55869999999999</v>
      </c>
      <c r="W764" s="21">
        <v>60.1586</v>
      </c>
    </row>
    <row r="765" spans="2:23" x14ac:dyDescent="0.3">
      <c r="B765" s="21">
        <v>400</v>
      </c>
      <c r="C765" s="21">
        <v>0.5</v>
      </c>
      <c r="D765" s="21">
        <v>0.05</v>
      </c>
      <c r="E765" s="21">
        <v>406.45150000000001</v>
      </c>
      <c r="F765" s="21">
        <v>468.41570000000002</v>
      </c>
      <c r="G765" s="21">
        <v>57.857599999999998</v>
      </c>
      <c r="J765" s="21">
        <v>400</v>
      </c>
      <c r="K765" s="21">
        <v>0.5</v>
      </c>
      <c r="L765" s="21">
        <v>0.05</v>
      </c>
      <c r="M765" s="21">
        <v>412.17680000000001</v>
      </c>
      <c r="N765" s="21">
        <v>471.02249999999998</v>
      </c>
      <c r="O765" s="21">
        <v>57.6023</v>
      </c>
      <c r="R765" s="21">
        <v>400</v>
      </c>
      <c r="S765" s="21">
        <v>0.5</v>
      </c>
      <c r="T765" s="21">
        <v>0.05</v>
      </c>
      <c r="U765" s="21">
        <v>412.93799999999999</v>
      </c>
      <c r="V765" s="21">
        <v>471.38380000000001</v>
      </c>
      <c r="W765" s="21">
        <v>57.568199999999997</v>
      </c>
    </row>
    <row r="766" spans="2:23" x14ac:dyDescent="0.3">
      <c r="B766" s="21">
        <v>600</v>
      </c>
      <c r="C766" s="21">
        <v>0.5</v>
      </c>
      <c r="D766" s="21">
        <v>0.05</v>
      </c>
      <c r="E766" s="21">
        <v>461.30630000000002</v>
      </c>
      <c r="F766" s="21">
        <v>499.62200000000001</v>
      </c>
      <c r="G766" s="21">
        <v>55.362200000000001</v>
      </c>
      <c r="J766" s="21">
        <v>600</v>
      </c>
      <c r="K766" s="21">
        <v>0.5</v>
      </c>
      <c r="L766" s="21">
        <v>0.05</v>
      </c>
      <c r="M766" s="21">
        <v>469.25330000000002</v>
      </c>
      <c r="N766" s="21">
        <v>504.93220000000002</v>
      </c>
      <c r="O766" s="21">
        <v>54.994100000000003</v>
      </c>
      <c r="R766" s="21">
        <v>600</v>
      </c>
      <c r="S766" s="21">
        <v>0.5</v>
      </c>
      <c r="T766" s="21">
        <v>0.05</v>
      </c>
      <c r="U766" s="21">
        <v>470.31240000000003</v>
      </c>
      <c r="V766" s="21">
        <v>505.64789999999999</v>
      </c>
      <c r="W766" s="21">
        <v>54.945</v>
      </c>
    </row>
    <row r="767" spans="2:23" x14ac:dyDescent="0.3">
      <c r="B767" s="21">
        <v>800</v>
      </c>
      <c r="C767" s="21">
        <v>0.5</v>
      </c>
      <c r="D767" s="21">
        <v>0.05</v>
      </c>
      <c r="E767" s="21">
        <v>512.34879999999998</v>
      </c>
      <c r="F767" s="21">
        <v>534.6816</v>
      </c>
      <c r="G767" s="21">
        <v>52.988</v>
      </c>
      <c r="J767" s="21">
        <v>800</v>
      </c>
      <c r="K767" s="21">
        <v>0.5</v>
      </c>
      <c r="L767" s="21">
        <v>0.05</v>
      </c>
      <c r="M767" s="21">
        <v>522.2405</v>
      </c>
      <c r="N767" s="21">
        <v>541.46289999999999</v>
      </c>
      <c r="O767" s="21">
        <v>52.527799999999999</v>
      </c>
      <c r="R767" s="21">
        <v>800</v>
      </c>
      <c r="S767" s="21">
        <v>0.5</v>
      </c>
      <c r="T767" s="21">
        <v>0.05</v>
      </c>
      <c r="U767" s="21">
        <v>523.54750000000001</v>
      </c>
      <c r="V767" s="21">
        <v>542.35180000000003</v>
      </c>
      <c r="W767" s="21">
        <v>52.466999999999999</v>
      </c>
    </row>
    <row r="768" spans="2:23" x14ac:dyDescent="0.3">
      <c r="B768" s="21">
        <v>1000</v>
      </c>
      <c r="C768" s="21">
        <v>0.5</v>
      </c>
      <c r="D768" s="21">
        <v>0.05</v>
      </c>
      <c r="E768" s="21">
        <v>559.92359999999996</v>
      </c>
      <c r="F768" s="21">
        <v>566.05449999999996</v>
      </c>
      <c r="G768" s="21">
        <v>50.787399999999998</v>
      </c>
      <c r="J768" s="21">
        <v>1000</v>
      </c>
      <c r="K768" s="21">
        <v>0.5</v>
      </c>
      <c r="L768" s="21">
        <v>0.05</v>
      </c>
      <c r="M768" s="21">
        <v>571.69590000000005</v>
      </c>
      <c r="N768" s="21">
        <v>573.17269999999996</v>
      </c>
      <c r="O768" s="21">
        <v>50.250399999999999</v>
      </c>
      <c r="R768" s="21">
        <v>1000</v>
      </c>
      <c r="S768" s="21">
        <v>0.5</v>
      </c>
      <c r="T768" s="21">
        <v>0.05</v>
      </c>
      <c r="U768" s="21">
        <v>573.24779999999998</v>
      </c>
      <c r="V768" s="21">
        <v>574.0874</v>
      </c>
      <c r="W768" s="21">
        <v>50.18</v>
      </c>
    </row>
    <row r="769" spans="2:23" x14ac:dyDescent="0.3">
      <c r="B769" s="21">
        <v>1140</v>
      </c>
      <c r="C769" s="21">
        <v>0.5</v>
      </c>
      <c r="D769" s="21">
        <v>0.05</v>
      </c>
      <c r="E769" s="21">
        <v>591.80539999999996</v>
      </c>
      <c r="F769" s="21">
        <v>584.57230000000004</v>
      </c>
      <c r="G769" s="21">
        <v>49.343800000000002</v>
      </c>
      <c r="J769" s="21">
        <v>1140</v>
      </c>
      <c r="K769" s="21">
        <v>0.5</v>
      </c>
      <c r="L769" s="21">
        <v>0.05</v>
      </c>
      <c r="M769" s="21">
        <v>604.8415</v>
      </c>
      <c r="N769" s="21">
        <v>591.4212</v>
      </c>
      <c r="O769" s="21">
        <v>48.764600000000002</v>
      </c>
      <c r="R769" s="21">
        <v>1140</v>
      </c>
      <c r="S769" s="21">
        <v>0.5</v>
      </c>
      <c r="T769" s="21">
        <v>0.05</v>
      </c>
      <c r="U769" s="21">
        <v>606.55849999999998</v>
      </c>
      <c r="V769" s="21">
        <v>592.29100000000005</v>
      </c>
      <c r="W769" s="21">
        <v>48.688899999999997</v>
      </c>
    </row>
    <row r="770" spans="2:23" x14ac:dyDescent="0.3">
      <c r="B770" s="21">
        <v>1340</v>
      </c>
      <c r="C770" s="21">
        <v>0.5</v>
      </c>
      <c r="D770" s="21">
        <v>0.05</v>
      </c>
      <c r="E770" s="21">
        <v>657.28570000000002</v>
      </c>
      <c r="F770" s="21">
        <v>614.79629999999997</v>
      </c>
      <c r="G770" s="21">
        <v>46.520800000000001</v>
      </c>
      <c r="J770" s="21">
        <v>1340</v>
      </c>
      <c r="K770" s="21">
        <v>0.5</v>
      </c>
      <c r="L770" s="21">
        <v>0.05</v>
      </c>
      <c r="M770" s="21">
        <v>672.02909999999997</v>
      </c>
      <c r="N770" s="21">
        <v>620.351</v>
      </c>
      <c r="O770" s="21">
        <v>45.919899999999998</v>
      </c>
      <c r="R770" s="21">
        <v>1340</v>
      </c>
      <c r="S770" s="21">
        <v>0.5</v>
      </c>
      <c r="T770" s="21">
        <v>0.05</v>
      </c>
      <c r="U770" s="21">
        <v>673.95950000000005</v>
      </c>
      <c r="V770" s="21">
        <v>621.05409999999995</v>
      </c>
      <c r="W770" s="21">
        <v>45.842300000000002</v>
      </c>
    </row>
    <row r="771" spans="2:23" x14ac:dyDescent="0.3">
      <c r="B771" s="21">
        <v>1540</v>
      </c>
      <c r="C771" s="21">
        <v>0.5</v>
      </c>
      <c r="D771" s="21">
        <v>0.05</v>
      </c>
      <c r="E771" s="21">
        <v>722.75</v>
      </c>
      <c r="F771" s="21">
        <v>637.98260000000005</v>
      </c>
      <c r="G771" s="21">
        <v>43.975499999999997</v>
      </c>
      <c r="J771" s="21">
        <v>1540</v>
      </c>
      <c r="K771" s="21">
        <v>0.5</v>
      </c>
      <c r="L771" s="21">
        <v>0.05</v>
      </c>
      <c r="M771" s="21">
        <v>738.88499999999999</v>
      </c>
      <c r="N771" s="21">
        <v>643.77570000000003</v>
      </c>
      <c r="O771" s="21">
        <v>43.401699999999998</v>
      </c>
      <c r="R771" s="21">
        <v>1540</v>
      </c>
      <c r="S771" s="21">
        <v>0.5</v>
      </c>
      <c r="T771" s="21">
        <v>0.05</v>
      </c>
      <c r="U771" s="21">
        <v>741.00049999999999</v>
      </c>
      <c r="V771" s="21">
        <v>644.56619999999998</v>
      </c>
      <c r="W771" s="21">
        <v>43.328200000000002</v>
      </c>
    </row>
    <row r="772" spans="2:23" x14ac:dyDescent="0.3">
      <c r="B772" s="21">
        <v>1740</v>
      </c>
      <c r="C772" s="21">
        <v>0.5</v>
      </c>
      <c r="D772" s="21">
        <v>0.05</v>
      </c>
      <c r="E772" s="21">
        <v>783.33040000000005</v>
      </c>
      <c r="F772" s="21">
        <v>663.19240000000002</v>
      </c>
      <c r="G772" s="21">
        <v>41.947800000000001</v>
      </c>
      <c r="J772" s="21">
        <v>1740</v>
      </c>
      <c r="K772" s="21">
        <v>0.5</v>
      </c>
      <c r="L772" s="21">
        <v>0.05</v>
      </c>
      <c r="M772" s="21">
        <v>800.20770000000005</v>
      </c>
      <c r="N772" s="21">
        <v>672.89819999999997</v>
      </c>
      <c r="O772" s="21">
        <v>41.448099999999997</v>
      </c>
      <c r="R772" s="21">
        <v>1740</v>
      </c>
      <c r="S772" s="21">
        <v>0.5</v>
      </c>
      <c r="T772" s="21">
        <v>0.05</v>
      </c>
      <c r="U772" s="21">
        <v>802.38329999999996</v>
      </c>
      <c r="V772" s="21">
        <v>674.27980000000002</v>
      </c>
      <c r="W772" s="21">
        <v>41.385899999999999</v>
      </c>
    </row>
    <row r="773" spans="2:23" x14ac:dyDescent="0.3">
      <c r="B773" s="21">
        <v>1940</v>
      </c>
      <c r="C773" s="21">
        <v>0.5</v>
      </c>
      <c r="D773" s="21">
        <v>0.05</v>
      </c>
      <c r="E773" s="21">
        <v>837.31830000000002</v>
      </c>
      <c r="F773" s="21">
        <v>701.66449999999998</v>
      </c>
      <c r="G773" s="21">
        <v>40.459299999999999</v>
      </c>
      <c r="J773" s="21">
        <v>1940</v>
      </c>
      <c r="K773" s="21">
        <v>0.5</v>
      </c>
      <c r="L773" s="21">
        <v>0.05</v>
      </c>
      <c r="M773" s="21">
        <v>854.17269999999996</v>
      </c>
      <c r="N773" s="21">
        <v>719.1952</v>
      </c>
      <c r="O773" s="21">
        <v>40.062600000000003</v>
      </c>
      <c r="R773" s="21">
        <v>1940</v>
      </c>
      <c r="S773" s="21">
        <v>0.5</v>
      </c>
      <c r="T773" s="21">
        <v>0.05</v>
      </c>
      <c r="U773" s="21">
        <v>856.32740000000001</v>
      </c>
      <c r="V773" s="21">
        <v>721.67989999999998</v>
      </c>
      <c r="W773" s="21">
        <v>40.014400000000002</v>
      </c>
    </row>
    <row r="774" spans="2:23" x14ac:dyDescent="0.3">
      <c r="B774" s="21">
        <v>2140</v>
      </c>
      <c r="C774" s="21">
        <v>0.5</v>
      </c>
      <c r="D774" s="21">
        <v>0.05</v>
      </c>
      <c r="E774" s="21">
        <v>884.35419999999999</v>
      </c>
      <c r="F774" s="21">
        <v>759.8252</v>
      </c>
      <c r="G774" s="21">
        <v>39.438499999999998</v>
      </c>
      <c r="J774" s="21">
        <v>2140</v>
      </c>
      <c r="K774" s="21">
        <v>0.5</v>
      </c>
      <c r="L774" s="21">
        <v>0.05</v>
      </c>
      <c r="M774" s="21">
        <v>900.58630000000005</v>
      </c>
      <c r="N774" s="21">
        <v>787.57650000000001</v>
      </c>
      <c r="O774" s="21">
        <v>39.150199999999998</v>
      </c>
      <c r="R774" s="21">
        <v>2140</v>
      </c>
      <c r="S774" s="21">
        <v>0.5</v>
      </c>
      <c r="T774" s="21">
        <v>0.05</v>
      </c>
      <c r="U774" s="21">
        <v>902.61680000000001</v>
      </c>
      <c r="V774" s="21">
        <v>791.37829999999997</v>
      </c>
      <c r="W774" s="21">
        <v>39.116500000000002</v>
      </c>
    </row>
    <row r="775" spans="2:23" x14ac:dyDescent="0.3">
      <c r="B775" s="21">
        <v>2340</v>
      </c>
      <c r="C775" s="21">
        <v>0.5</v>
      </c>
      <c r="D775" s="21">
        <v>0.05</v>
      </c>
      <c r="E775" s="21">
        <v>925.00199999999995</v>
      </c>
      <c r="F775" s="21">
        <v>838.68340000000001</v>
      </c>
      <c r="G775" s="21">
        <v>38.780999999999999</v>
      </c>
      <c r="J775" s="21">
        <v>2340</v>
      </c>
      <c r="K775" s="21">
        <v>0.5</v>
      </c>
      <c r="L775" s="21">
        <v>0.05</v>
      </c>
      <c r="M775" s="21">
        <v>940.45939999999996</v>
      </c>
      <c r="N775" s="21">
        <v>877.69529999999997</v>
      </c>
      <c r="O775" s="21">
        <v>38.588299999999997</v>
      </c>
      <c r="R775" s="21">
        <v>2340</v>
      </c>
      <c r="S775" s="21">
        <v>0.5</v>
      </c>
      <c r="T775" s="21">
        <v>0.05</v>
      </c>
      <c r="U775" s="21">
        <v>942.33159999999998</v>
      </c>
      <c r="V775" s="21">
        <v>882.80529999999999</v>
      </c>
      <c r="W775" s="21">
        <v>38.567100000000003</v>
      </c>
    </row>
    <row r="776" spans="2:23" x14ac:dyDescent="0.3">
      <c r="B776" s="21">
        <v>2540</v>
      </c>
      <c r="C776" s="21">
        <v>0.5</v>
      </c>
      <c r="D776" s="21">
        <v>0.05</v>
      </c>
      <c r="E776" s="21">
        <v>960.60649999999998</v>
      </c>
      <c r="F776" s="21">
        <v>937.40260000000001</v>
      </c>
      <c r="G776" s="21">
        <v>38.385899999999999</v>
      </c>
      <c r="J776" s="21">
        <v>2540</v>
      </c>
      <c r="K776" s="21">
        <v>0.5</v>
      </c>
      <c r="L776" s="21">
        <v>0.05</v>
      </c>
      <c r="M776" s="21">
        <v>975.37459999999999</v>
      </c>
      <c r="N776" s="21">
        <v>988.24599999999998</v>
      </c>
      <c r="O776" s="21">
        <v>38.273299999999999</v>
      </c>
      <c r="R776" s="21">
        <v>2540</v>
      </c>
      <c r="S776" s="21">
        <v>0.5</v>
      </c>
      <c r="T776" s="21">
        <v>0.05</v>
      </c>
      <c r="U776" s="21">
        <v>977.14769999999999</v>
      </c>
      <c r="V776" s="21">
        <v>994.78340000000003</v>
      </c>
      <c r="W776" s="21">
        <v>38.261899999999997</v>
      </c>
    </row>
    <row r="777" spans="2:23" x14ac:dyDescent="0.3">
      <c r="B777" s="21">
        <v>2740</v>
      </c>
      <c r="C777" s="21">
        <v>0.5</v>
      </c>
      <c r="D777" s="21">
        <v>0.05</v>
      </c>
      <c r="E777" s="21">
        <v>992.56200000000001</v>
      </c>
      <c r="F777" s="21">
        <v>1055.7747999999999</v>
      </c>
      <c r="G777" s="21">
        <v>38.180900000000001</v>
      </c>
      <c r="J777" s="21">
        <v>2740</v>
      </c>
      <c r="K777" s="21">
        <v>0.5</v>
      </c>
      <c r="L777" s="21">
        <v>0.05</v>
      </c>
      <c r="M777" s="21">
        <v>1006.9968</v>
      </c>
      <c r="N777" s="21">
        <v>1120.0668000000001</v>
      </c>
      <c r="O777" s="21">
        <v>38.135899999999999</v>
      </c>
      <c r="R777" s="21">
        <v>2740</v>
      </c>
      <c r="S777" s="21">
        <v>0.5</v>
      </c>
      <c r="T777" s="21">
        <v>0.05</v>
      </c>
      <c r="U777" s="21">
        <v>1008.6804</v>
      </c>
      <c r="V777" s="21">
        <v>1128.0436999999999</v>
      </c>
      <c r="W777" s="21">
        <v>38.132599999999996</v>
      </c>
    </row>
    <row r="778" spans="2:23" x14ac:dyDescent="0.3">
      <c r="B778" s="21">
        <v>2940</v>
      </c>
      <c r="C778" s="21">
        <v>0.5</v>
      </c>
      <c r="D778" s="21">
        <v>0.05</v>
      </c>
      <c r="E778" s="21">
        <v>1022.3299</v>
      </c>
      <c r="F778" s="21">
        <v>1196.604</v>
      </c>
      <c r="G778" s="21">
        <v>38.121000000000002</v>
      </c>
      <c r="J778" s="21">
        <v>2940</v>
      </c>
      <c r="K778" s="21">
        <v>0.5</v>
      </c>
      <c r="L778" s="21">
        <v>0.05</v>
      </c>
      <c r="M778" s="21">
        <v>1037.3324</v>
      </c>
      <c r="N778" s="21">
        <v>1114.4930999999999</v>
      </c>
      <c r="O778" s="21">
        <v>38.139499999999998</v>
      </c>
      <c r="R778" s="21">
        <v>2940</v>
      </c>
      <c r="S778" s="21">
        <v>0.5</v>
      </c>
      <c r="T778" s="21">
        <v>0.05</v>
      </c>
      <c r="U778" s="21">
        <v>1039.1121000000001</v>
      </c>
      <c r="V778" s="21">
        <v>1107.7171000000001</v>
      </c>
      <c r="W778" s="21">
        <v>38.143900000000002</v>
      </c>
    </row>
    <row r="779" spans="2:23" x14ac:dyDescent="0.3">
      <c r="B779" s="21">
        <v>3060</v>
      </c>
      <c r="C779" s="21">
        <v>0.5</v>
      </c>
      <c r="D779" s="21">
        <v>0.05</v>
      </c>
      <c r="E779" s="21">
        <v>1040.144</v>
      </c>
      <c r="F779" s="21">
        <v>1103.8095000000001</v>
      </c>
      <c r="G779" s="21">
        <v>38.146599999999999</v>
      </c>
      <c r="J779" s="21">
        <v>3060</v>
      </c>
      <c r="K779" s="21">
        <v>0.5</v>
      </c>
      <c r="L779" s="21">
        <v>0.05</v>
      </c>
      <c r="M779" s="21">
        <v>1055.8757000000001</v>
      </c>
      <c r="N779" s="21">
        <v>1046.1963000000001</v>
      </c>
      <c r="O779" s="21">
        <v>38.208100000000002</v>
      </c>
      <c r="R779" s="21">
        <v>3060</v>
      </c>
      <c r="S779" s="21">
        <v>0.5</v>
      </c>
      <c r="T779" s="21">
        <v>0.05</v>
      </c>
      <c r="U779" s="21">
        <v>1057.6972000000001</v>
      </c>
      <c r="V779" s="21">
        <v>1039.7662</v>
      </c>
      <c r="W779" s="21">
        <v>38.217500000000001</v>
      </c>
    </row>
    <row r="780" spans="2:23" x14ac:dyDescent="0.3">
      <c r="B780" s="21">
        <v>3260</v>
      </c>
      <c r="C780" s="21">
        <v>0.5</v>
      </c>
      <c r="D780" s="21">
        <v>0.05</v>
      </c>
      <c r="E780" s="21">
        <v>1080.6750999999999</v>
      </c>
      <c r="F780" s="21">
        <v>963.08399999999995</v>
      </c>
      <c r="G780" s="21">
        <v>38.3795</v>
      </c>
      <c r="J780" s="21">
        <v>3260</v>
      </c>
      <c r="K780" s="21">
        <v>0.5</v>
      </c>
      <c r="L780" s="21">
        <v>0.05</v>
      </c>
      <c r="M780" s="21">
        <v>1098.4123</v>
      </c>
      <c r="N780" s="21">
        <v>909.6816</v>
      </c>
      <c r="O780" s="21">
        <v>38.558399999999999</v>
      </c>
      <c r="R780" s="21">
        <v>3260</v>
      </c>
      <c r="S780" s="21">
        <v>0.5</v>
      </c>
      <c r="T780" s="21">
        <v>0.05</v>
      </c>
      <c r="U780" s="21">
        <v>1100.4512</v>
      </c>
      <c r="V780" s="21">
        <v>903.87630000000001</v>
      </c>
      <c r="W780" s="21">
        <v>38.582000000000001</v>
      </c>
    </row>
    <row r="781" spans="2:23" x14ac:dyDescent="0.3">
      <c r="B781" s="21">
        <v>3460</v>
      </c>
      <c r="C781" s="21">
        <v>0.5</v>
      </c>
      <c r="D781" s="21">
        <v>0.05</v>
      </c>
      <c r="E781" s="21">
        <v>1125.1956</v>
      </c>
      <c r="F781" s="21">
        <v>839.07820000000004</v>
      </c>
      <c r="G781" s="21">
        <v>38.918199999999999</v>
      </c>
      <c r="J781" s="21">
        <v>3460</v>
      </c>
      <c r="K781" s="21">
        <v>0.5</v>
      </c>
      <c r="L781" s="21">
        <v>0.05</v>
      </c>
      <c r="M781" s="21">
        <v>1144.9110000000001</v>
      </c>
      <c r="N781" s="21">
        <v>795.17280000000005</v>
      </c>
      <c r="O781" s="21">
        <v>39.252099999999999</v>
      </c>
      <c r="R781" s="21">
        <v>3460</v>
      </c>
      <c r="S781" s="21">
        <v>0.5</v>
      </c>
      <c r="T781" s="21">
        <v>0.05</v>
      </c>
      <c r="U781" s="21">
        <v>1147.1686999999999</v>
      </c>
      <c r="V781" s="21">
        <v>790.59619999999995</v>
      </c>
      <c r="W781" s="21">
        <v>39.2941</v>
      </c>
    </row>
    <row r="782" spans="2:23" x14ac:dyDescent="0.3">
      <c r="B782" s="21">
        <v>3660</v>
      </c>
      <c r="C782" s="21">
        <v>0.5</v>
      </c>
      <c r="D782" s="21">
        <v>0.05</v>
      </c>
      <c r="E782" s="21">
        <v>1169.6579999999999</v>
      </c>
      <c r="F782" s="21">
        <v>750.21990000000005</v>
      </c>
      <c r="G782" s="21">
        <v>39.754300000000001</v>
      </c>
      <c r="J782" s="21">
        <v>3660</v>
      </c>
      <c r="K782" s="21">
        <v>0.5</v>
      </c>
      <c r="L782" s="21">
        <v>0.05</v>
      </c>
      <c r="M782" s="21">
        <v>1190.7035000000001</v>
      </c>
      <c r="N782" s="21">
        <v>721.27620000000002</v>
      </c>
      <c r="O782" s="21">
        <v>40.253900000000002</v>
      </c>
      <c r="R782" s="21">
        <v>3660</v>
      </c>
      <c r="S782" s="21">
        <v>0.5</v>
      </c>
      <c r="T782" s="21">
        <v>0.05</v>
      </c>
      <c r="U782" s="21">
        <v>1193.0984000000001</v>
      </c>
      <c r="V782" s="21">
        <v>718.5403</v>
      </c>
      <c r="W782" s="21">
        <v>40.314999999999998</v>
      </c>
    </row>
    <row r="783" spans="2:23" x14ac:dyDescent="0.3">
      <c r="B783" s="21">
        <v>3860</v>
      </c>
      <c r="C783" s="21">
        <v>0.5</v>
      </c>
      <c r="D783" s="21">
        <v>0.05</v>
      </c>
      <c r="E783" s="21">
        <v>1211.6436000000001</v>
      </c>
      <c r="F783" s="21">
        <v>703</v>
      </c>
      <c r="G783" s="21">
        <v>40.817</v>
      </c>
      <c r="J783" s="21">
        <v>3860</v>
      </c>
      <c r="K783" s="21">
        <v>0.5</v>
      </c>
      <c r="L783" s="21">
        <v>0.05</v>
      </c>
      <c r="M783" s="21">
        <v>1232.9719</v>
      </c>
      <c r="N783" s="21">
        <v>703</v>
      </c>
      <c r="O783" s="21">
        <v>41.457799999999999</v>
      </c>
      <c r="R783" s="21">
        <v>3860</v>
      </c>
      <c r="S783" s="21">
        <v>0.5</v>
      </c>
      <c r="T783" s="21">
        <v>0.05</v>
      </c>
      <c r="U783" s="21">
        <v>1235.3598999999999</v>
      </c>
      <c r="V783" s="21">
        <v>703</v>
      </c>
      <c r="W783" s="21">
        <v>41.533700000000003</v>
      </c>
    </row>
    <row r="784" spans="2:23" x14ac:dyDescent="0.3">
      <c r="B784" s="21">
        <v>4060</v>
      </c>
      <c r="C784" s="21">
        <v>0.5</v>
      </c>
      <c r="D784" s="21">
        <v>0.05</v>
      </c>
      <c r="E784" s="21">
        <v>1249.4056</v>
      </c>
      <c r="F784" s="21">
        <v>703</v>
      </c>
      <c r="G784" s="21">
        <v>41.997399999999999</v>
      </c>
      <c r="J784" s="21">
        <v>4060</v>
      </c>
      <c r="K784" s="21">
        <v>0.5</v>
      </c>
      <c r="L784" s="21">
        <v>0.05</v>
      </c>
      <c r="M784" s="21">
        <v>1270.5129999999999</v>
      </c>
      <c r="N784" s="21">
        <v>703</v>
      </c>
      <c r="O784" s="21">
        <v>42.748699999999999</v>
      </c>
      <c r="R784" s="21">
        <v>4060</v>
      </c>
      <c r="S784" s="21">
        <v>0.5</v>
      </c>
      <c r="T784" s="21">
        <v>0.05</v>
      </c>
      <c r="U784" s="21">
        <v>1272.895</v>
      </c>
      <c r="V784" s="21">
        <v>703</v>
      </c>
      <c r="W784" s="21">
        <v>42.837499999999999</v>
      </c>
    </row>
    <row r="785" spans="2:23" x14ac:dyDescent="0.3">
      <c r="B785" s="21">
        <v>4260</v>
      </c>
      <c r="C785" s="21">
        <v>0.5</v>
      </c>
      <c r="D785" s="21">
        <v>0.05</v>
      </c>
      <c r="E785" s="21">
        <v>1282.8085000000001</v>
      </c>
      <c r="F785" s="21">
        <v>703</v>
      </c>
      <c r="G785" s="21">
        <v>43.216099999999997</v>
      </c>
      <c r="J785" s="21">
        <v>4260</v>
      </c>
      <c r="K785" s="21">
        <v>0.5</v>
      </c>
      <c r="L785" s="21">
        <v>0.05</v>
      </c>
      <c r="M785" s="21">
        <v>1303.6469999999999</v>
      </c>
      <c r="N785" s="21">
        <v>703</v>
      </c>
      <c r="O785" s="21">
        <v>44.0578</v>
      </c>
      <c r="R785" s="21">
        <v>4260</v>
      </c>
      <c r="S785" s="21">
        <v>0.5</v>
      </c>
      <c r="T785" s="21">
        <v>0.05</v>
      </c>
      <c r="U785" s="21">
        <v>1306.0236</v>
      </c>
      <c r="V785" s="21">
        <v>703</v>
      </c>
      <c r="W785" s="21">
        <v>44.157699999999998</v>
      </c>
    </row>
    <row r="786" spans="2:23" x14ac:dyDescent="0.3">
      <c r="B786" s="21">
        <v>4460</v>
      </c>
      <c r="C786" s="21">
        <v>0.5</v>
      </c>
      <c r="D786" s="21">
        <v>0.05</v>
      </c>
      <c r="E786" s="21">
        <v>1312.1957</v>
      </c>
      <c r="F786" s="21">
        <v>703</v>
      </c>
      <c r="G786" s="21">
        <v>44.420900000000003</v>
      </c>
      <c r="J786" s="21">
        <v>4460</v>
      </c>
      <c r="K786" s="21">
        <v>0.5</v>
      </c>
      <c r="L786" s="21">
        <v>0.05</v>
      </c>
      <c r="M786" s="21">
        <v>1332.7626</v>
      </c>
      <c r="N786" s="21">
        <v>703</v>
      </c>
      <c r="O786" s="21">
        <v>45.336399999999998</v>
      </c>
      <c r="R786" s="21">
        <v>4460</v>
      </c>
      <c r="S786" s="21">
        <v>0.5</v>
      </c>
      <c r="T786" s="21">
        <v>0.05</v>
      </c>
      <c r="U786" s="21">
        <v>1335.1168</v>
      </c>
      <c r="V786" s="21">
        <v>703</v>
      </c>
      <c r="W786" s="21">
        <v>45.444899999999997</v>
      </c>
    </row>
    <row r="787" spans="2:23" x14ac:dyDescent="0.3">
      <c r="B787" s="21">
        <v>4660</v>
      </c>
      <c r="C787" s="21">
        <v>0.5</v>
      </c>
      <c r="D787" s="21">
        <v>0.05</v>
      </c>
      <c r="E787" s="21">
        <v>1337.9527</v>
      </c>
      <c r="F787" s="21">
        <v>703</v>
      </c>
      <c r="G787" s="21">
        <v>45.576700000000002</v>
      </c>
      <c r="J787" s="21">
        <v>4660</v>
      </c>
      <c r="K787" s="21">
        <v>0.5</v>
      </c>
      <c r="L787" s="21">
        <v>0.05</v>
      </c>
      <c r="M787" s="21">
        <v>1358.2044000000001</v>
      </c>
      <c r="N787" s="21">
        <v>703</v>
      </c>
      <c r="O787" s="21">
        <v>46.549399999999999</v>
      </c>
      <c r="R787" s="21">
        <v>4660</v>
      </c>
      <c r="S787" s="21">
        <v>0.5</v>
      </c>
      <c r="T787" s="21">
        <v>0.05</v>
      </c>
      <c r="U787" s="21">
        <v>1360.547</v>
      </c>
      <c r="V787" s="21">
        <v>703</v>
      </c>
      <c r="W787" s="21">
        <v>46.665500000000002</v>
      </c>
    </row>
    <row r="788" spans="2:23" x14ac:dyDescent="0.3">
      <c r="B788" s="21">
        <v>4860</v>
      </c>
      <c r="C788" s="21">
        <v>0.5</v>
      </c>
      <c r="D788" s="21">
        <v>0.05</v>
      </c>
      <c r="E788" s="21">
        <v>1360.3945000000001</v>
      </c>
      <c r="F788" s="21">
        <v>703</v>
      </c>
      <c r="G788" s="21">
        <v>46.657899999999998</v>
      </c>
      <c r="J788" s="21">
        <v>4860</v>
      </c>
      <c r="K788" s="21">
        <v>0.5</v>
      </c>
      <c r="L788" s="21">
        <v>0.05</v>
      </c>
      <c r="M788" s="21">
        <v>1380.3552999999999</v>
      </c>
      <c r="N788" s="21">
        <v>703</v>
      </c>
      <c r="O788" s="21">
        <v>47.676099999999998</v>
      </c>
      <c r="R788" s="21">
        <v>4860</v>
      </c>
      <c r="S788" s="21">
        <v>0.5</v>
      </c>
      <c r="T788" s="21">
        <v>0.05</v>
      </c>
      <c r="U788" s="21">
        <v>1382.6712</v>
      </c>
      <c r="V788" s="21">
        <v>703</v>
      </c>
      <c r="W788" s="21">
        <v>47.797699999999999</v>
      </c>
    </row>
    <row r="789" spans="2:23" x14ac:dyDescent="0.3">
      <c r="B789" s="21">
        <v>4980</v>
      </c>
      <c r="C789" s="21">
        <v>0.5</v>
      </c>
      <c r="D789" s="21">
        <v>0.05</v>
      </c>
      <c r="E789" s="21">
        <v>1372.7787000000001</v>
      </c>
      <c r="F789" s="21">
        <v>703</v>
      </c>
      <c r="G789" s="21">
        <v>47.2834</v>
      </c>
      <c r="J789" s="21">
        <v>4980</v>
      </c>
      <c r="K789" s="21">
        <v>0.5</v>
      </c>
      <c r="L789" s="21">
        <v>0.05</v>
      </c>
      <c r="M789" s="21">
        <v>1392.5385000000001</v>
      </c>
      <c r="N789" s="21">
        <v>703</v>
      </c>
      <c r="O789" s="21">
        <v>48.3232</v>
      </c>
      <c r="R789" s="21">
        <v>4980</v>
      </c>
      <c r="S789" s="21">
        <v>0.5</v>
      </c>
      <c r="T789" s="21">
        <v>0.05</v>
      </c>
      <c r="U789" s="21">
        <v>1394.8316</v>
      </c>
      <c r="V789" s="21">
        <v>703</v>
      </c>
      <c r="W789" s="21">
        <v>48.447200000000002</v>
      </c>
    </row>
    <row r="790" spans="2:23" x14ac:dyDescent="0.3">
      <c r="B790" s="21">
        <v>5180</v>
      </c>
      <c r="C790" s="21">
        <v>0.5</v>
      </c>
      <c r="D790" s="21">
        <v>0.05</v>
      </c>
      <c r="E790" s="21">
        <v>1389.6271999999999</v>
      </c>
      <c r="F790" s="21">
        <v>703</v>
      </c>
      <c r="G790" s="21">
        <v>48.166899999999998</v>
      </c>
      <c r="J790" s="21">
        <v>5180</v>
      </c>
      <c r="K790" s="21">
        <v>0.5</v>
      </c>
      <c r="L790" s="21">
        <v>0.05</v>
      </c>
      <c r="M790" s="21">
        <v>1409.0417</v>
      </c>
      <c r="N790" s="21">
        <v>703</v>
      </c>
      <c r="O790" s="21">
        <v>49.23</v>
      </c>
      <c r="R790" s="21">
        <v>5180</v>
      </c>
      <c r="S790" s="21">
        <v>0.5</v>
      </c>
      <c r="T790" s="21">
        <v>0.05</v>
      </c>
      <c r="U790" s="21">
        <v>1411.3171</v>
      </c>
      <c r="V790" s="21">
        <v>703</v>
      </c>
      <c r="W790" s="21">
        <v>49.357799999999997</v>
      </c>
    </row>
    <row r="791" spans="2:23" x14ac:dyDescent="0.3">
      <c r="B791" s="21">
        <v>5380</v>
      </c>
      <c r="C791" s="21">
        <v>0.5</v>
      </c>
      <c r="D791" s="21">
        <v>0.05</v>
      </c>
      <c r="E791" s="21">
        <v>1404.2463</v>
      </c>
      <c r="F791" s="21">
        <v>703</v>
      </c>
      <c r="G791" s="21">
        <v>48.963000000000001</v>
      </c>
      <c r="J791" s="21">
        <v>5380</v>
      </c>
      <c r="K791" s="21">
        <v>0.5</v>
      </c>
      <c r="L791" s="21">
        <v>0.05</v>
      </c>
      <c r="M791" s="21">
        <v>1423.3571999999999</v>
      </c>
      <c r="N791" s="21">
        <v>703</v>
      </c>
      <c r="O791" s="21">
        <v>50.044199999999996</v>
      </c>
      <c r="R791" s="21">
        <v>5380</v>
      </c>
      <c r="S791" s="21">
        <v>0.5</v>
      </c>
      <c r="T791" s="21">
        <v>0.05</v>
      </c>
      <c r="U791" s="21">
        <v>1425.6156000000001</v>
      </c>
      <c r="V791" s="21">
        <v>703</v>
      </c>
      <c r="W791" s="21">
        <v>50.174999999999997</v>
      </c>
    </row>
    <row r="792" spans="2:23" x14ac:dyDescent="0.3">
      <c r="B792" s="21">
        <v>5580</v>
      </c>
      <c r="C792" s="21">
        <v>0.5</v>
      </c>
      <c r="D792" s="21">
        <v>0.05</v>
      </c>
      <c r="E792" s="21">
        <v>1417.0228999999999</v>
      </c>
      <c r="F792" s="21">
        <v>703</v>
      </c>
      <c r="G792" s="21">
        <v>49.680900000000001</v>
      </c>
      <c r="J792" s="21">
        <v>5580</v>
      </c>
      <c r="K792" s="21">
        <v>0.5</v>
      </c>
      <c r="L792" s="21">
        <v>0.05</v>
      </c>
      <c r="M792" s="21">
        <v>1435.8741</v>
      </c>
      <c r="N792" s="21">
        <v>703</v>
      </c>
      <c r="O792" s="21">
        <v>50.776699999999998</v>
      </c>
      <c r="R792" s="21">
        <v>5580</v>
      </c>
      <c r="S792" s="21">
        <v>0.5</v>
      </c>
      <c r="T792" s="21">
        <v>0.05</v>
      </c>
      <c r="U792" s="21">
        <v>1438.1186</v>
      </c>
      <c r="V792" s="21">
        <v>703</v>
      </c>
      <c r="W792" s="21">
        <v>50.91</v>
      </c>
    </row>
    <row r="793" spans="2:23" x14ac:dyDescent="0.3">
      <c r="B793" s="21">
        <v>5780</v>
      </c>
      <c r="C793" s="21">
        <v>0.5</v>
      </c>
      <c r="D793" s="21">
        <v>0.05</v>
      </c>
      <c r="E793" s="21">
        <v>1428.1352999999999</v>
      </c>
      <c r="F793" s="21">
        <v>703</v>
      </c>
      <c r="G793" s="21">
        <v>50.321599999999997</v>
      </c>
      <c r="J793" s="21">
        <v>5780</v>
      </c>
      <c r="K793" s="21">
        <v>0.5</v>
      </c>
      <c r="L793" s="21">
        <v>0.05</v>
      </c>
      <c r="M793" s="21">
        <v>1446.7623000000001</v>
      </c>
      <c r="N793" s="21">
        <v>703</v>
      </c>
      <c r="O793" s="21">
        <v>51.429099999999998</v>
      </c>
      <c r="R793" s="21">
        <v>5780</v>
      </c>
      <c r="S793" s="21">
        <v>0.5</v>
      </c>
      <c r="T793" s="21">
        <v>0.05</v>
      </c>
      <c r="U793" s="21">
        <v>1448.9783</v>
      </c>
      <c r="V793" s="21">
        <v>703</v>
      </c>
      <c r="W793" s="21">
        <v>51.563600000000001</v>
      </c>
    </row>
    <row r="794" spans="2:23" x14ac:dyDescent="0.3">
      <c r="B794" s="21">
        <v>5980</v>
      </c>
      <c r="C794" s="21">
        <v>0.5</v>
      </c>
      <c r="D794" s="21">
        <v>0.05</v>
      </c>
      <c r="E794" s="21">
        <v>1437.7695000000001</v>
      </c>
      <c r="F794" s="21">
        <v>703</v>
      </c>
      <c r="G794" s="21">
        <v>50.889299999999999</v>
      </c>
      <c r="J794" s="21">
        <v>5980</v>
      </c>
      <c r="K794" s="21">
        <v>0.5</v>
      </c>
      <c r="L794" s="21">
        <v>0.05</v>
      </c>
      <c r="M794" s="21">
        <v>1456.1519000000001</v>
      </c>
      <c r="N794" s="21">
        <v>703</v>
      </c>
      <c r="O794" s="21">
        <v>52.002899999999997</v>
      </c>
      <c r="R794" s="21">
        <v>5980</v>
      </c>
      <c r="S794" s="21">
        <v>0.5</v>
      </c>
      <c r="T794" s="21">
        <v>0.05</v>
      </c>
      <c r="U794" s="21">
        <v>1458.3465000000001</v>
      </c>
      <c r="V794" s="21">
        <v>703</v>
      </c>
      <c r="W794" s="21">
        <v>52.138399999999997</v>
      </c>
    </row>
    <row r="795" spans="2:23" x14ac:dyDescent="0.3">
      <c r="B795" s="21">
        <v>6180</v>
      </c>
      <c r="C795" s="21">
        <v>0.5</v>
      </c>
      <c r="D795" s="21">
        <v>0.05</v>
      </c>
      <c r="E795" s="21">
        <v>1446.0518</v>
      </c>
      <c r="F795" s="21">
        <v>703</v>
      </c>
      <c r="G795" s="21">
        <v>51.386099999999999</v>
      </c>
      <c r="J795" s="21">
        <v>6180</v>
      </c>
      <c r="K795" s="21">
        <v>0.5</v>
      </c>
      <c r="L795" s="21">
        <v>0.05</v>
      </c>
      <c r="M795" s="21">
        <v>1464.2043000000001</v>
      </c>
      <c r="N795" s="21">
        <v>703</v>
      </c>
      <c r="O795" s="21">
        <v>52.503</v>
      </c>
      <c r="R795" s="21">
        <v>6180</v>
      </c>
      <c r="S795" s="21">
        <v>0.5</v>
      </c>
      <c r="T795" s="21">
        <v>0.05</v>
      </c>
      <c r="U795" s="21">
        <v>1466.3738000000001</v>
      </c>
      <c r="V795" s="21">
        <v>703</v>
      </c>
      <c r="W795" s="21">
        <v>52.639000000000003</v>
      </c>
    </row>
    <row r="796" spans="2:23" x14ac:dyDescent="0.3">
      <c r="B796" s="21">
        <v>6380</v>
      </c>
      <c r="C796" s="21">
        <v>0.5</v>
      </c>
      <c r="D796" s="21">
        <v>0.05</v>
      </c>
      <c r="E796" s="21">
        <v>1453.1388999999999</v>
      </c>
      <c r="F796" s="21">
        <v>703</v>
      </c>
      <c r="G796" s="21">
        <v>51.817599999999999</v>
      </c>
      <c r="J796" s="21">
        <v>6380</v>
      </c>
      <c r="K796" s="21">
        <v>0.5</v>
      </c>
      <c r="L796" s="21">
        <v>0.05</v>
      </c>
      <c r="M796" s="21">
        <v>1471.0652</v>
      </c>
      <c r="N796" s="21">
        <v>703</v>
      </c>
      <c r="O796" s="21">
        <v>52.934899999999999</v>
      </c>
      <c r="R796" s="21">
        <v>6380</v>
      </c>
      <c r="S796" s="21">
        <v>0.5</v>
      </c>
      <c r="T796" s="21">
        <v>0.05</v>
      </c>
      <c r="U796" s="21">
        <v>1473.2217000000001</v>
      </c>
      <c r="V796" s="21">
        <v>703</v>
      </c>
      <c r="W796" s="21">
        <v>53.071800000000003</v>
      </c>
    </row>
    <row r="797" spans="2:23" x14ac:dyDescent="0.3">
      <c r="B797" s="21">
        <v>6580</v>
      </c>
      <c r="C797" s="21">
        <v>0.5</v>
      </c>
      <c r="D797" s="21">
        <v>0.05</v>
      </c>
      <c r="E797" s="21">
        <v>1459.1768</v>
      </c>
      <c r="F797" s="21">
        <v>703</v>
      </c>
      <c r="G797" s="21">
        <v>52.189900000000002</v>
      </c>
      <c r="J797" s="21">
        <v>6580</v>
      </c>
      <c r="K797" s="21">
        <v>0.5</v>
      </c>
      <c r="L797" s="21">
        <v>0.05</v>
      </c>
      <c r="M797" s="21">
        <v>1476.9050999999999</v>
      </c>
      <c r="N797" s="21">
        <v>703</v>
      </c>
      <c r="O797" s="21">
        <v>53.306699999999999</v>
      </c>
      <c r="R797" s="21">
        <v>6580</v>
      </c>
      <c r="S797" s="21">
        <v>0.5</v>
      </c>
      <c r="T797" s="21">
        <v>0.05</v>
      </c>
      <c r="U797" s="21">
        <v>1479.0431000000001</v>
      </c>
      <c r="V797" s="21">
        <v>703</v>
      </c>
      <c r="W797" s="21">
        <v>53.443800000000003</v>
      </c>
    </row>
    <row r="798" spans="2:23" x14ac:dyDescent="0.3">
      <c r="B798" s="21">
        <v>6780</v>
      </c>
      <c r="C798" s="21">
        <v>0.5</v>
      </c>
      <c r="D798" s="21">
        <v>0.05</v>
      </c>
      <c r="E798" s="21">
        <v>1464.3294000000001</v>
      </c>
      <c r="F798" s="21">
        <v>703</v>
      </c>
      <c r="G798" s="21">
        <v>52.510800000000003</v>
      </c>
      <c r="J798" s="21">
        <v>6780</v>
      </c>
      <c r="K798" s="21">
        <v>0.5</v>
      </c>
      <c r="L798" s="21">
        <v>0.05</v>
      </c>
      <c r="M798" s="21">
        <v>1481.866</v>
      </c>
      <c r="N798" s="21">
        <v>703</v>
      </c>
      <c r="O798" s="21">
        <v>53.625500000000002</v>
      </c>
      <c r="R798" s="21">
        <v>6780</v>
      </c>
      <c r="S798" s="21">
        <v>0.5</v>
      </c>
      <c r="T798" s="21">
        <v>0.05</v>
      </c>
      <c r="U798" s="21">
        <v>1483.9795999999999</v>
      </c>
      <c r="V798" s="21">
        <v>703</v>
      </c>
      <c r="W798" s="21">
        <v>53.762099999999997</v>
      </c>
    </row>
    <row r="799" spans="2:23" x14ac:dyDescent="0.3">
      <c r="B799" s="21">
        <v>6980</v>
      </c>
      <c r="C799" s="21">
        <v>0.5</v>
      </c>
      <c r="D799" s="21">
        <v>0.05</v>
      </c>
      <c r="E799" s="21">
        <v>1468.7065</v>
      </c>
      <c r="F799" s="21">
        <v>703</v>
      </c>
      <c r="G799" s="21">
        <v>52.785800000000002</v>
      </c>
      <c r="J799" s="21">
        <v>6980</v>
      </c>
      <c r="K799" s="21">
        <v>0.5</v>
      </c>
      <c r="L799" s="21">
        <v>0.05</v>
      </c>
      <c r="M799" s="21">
        <v>1486.0577000000001</v>
      </c>
      <c r="N799" s="21">
        <v>703</v>
      </c>
      <c r="O799" s="21">
        <v>53.896999999999998</v>
      </c>
      <c r="R799" s="21">
        <v>6980</v>
      </c>
      <c r="S799" s="21">
        <v>0.5</v>
      </c>
      <c r="T799" s="21">
        <v>0.05</v>
      </c>
      <c r="U799" s="21">
        <v>1488.1568</v>
      </c>
      <c r="V799" s="21">
        <v>703</v>
      </c>
      <c r="W799" s="21">
        <v>54.0336</v>
      </c>
    </row>
    <row r="800" spans="2:23" x14ac:dyDescent="0.3">
      <c r="B800" s="21">
        <v>7180</v>
      </c>
      <c r="C800" s="21">
        <v>0.5</v>
      </c>
      <c r="D800" s="21">
        <v>0.05</v>
      </c>
      <c r="E800" s="21">
        <v>1472.4074000000001</v>
      </c>
      <c r="F800" s="21">
        <v>703</v>
      </c>
      <c r="G800" s="21">
        <v>53.02</v>
      </c>
      <c r="J800" s="21">
        <v>7180</v>
      </c>
      <c r="K800" s="21">
        <v>0.5</v>
      </c>
      <c r="L800" s="21">
        <v>0.05</v>
      </c>
      <c r="M800" s="21">
        <v>1489.6072999999999</v>
      </c>
      <c r="N800" s="21">
        <v>703</v>
      </c>
      <c r="O800" s="21">
        <v>54.128300000000003</v>
      </c>
      <c r="R800" s="21">
        <v>7180</v>
      </c>
      <c r="S800" s="21">
        <v>0.5</v>
      </c>
      <c r="T800" s="21">
        <v>0.05</v>
      </c>
      <c r="U800" s="21">
        <v>1491.6864</v>
      </c>
      <c r="V800" s="21">
        <v>703</v>
      </c>
      <c r="W800" s="21">
        <v>54.264400000000002</v>
      </c>
    </row>
    <row r="801" spans="2:23" x14ac:dyDescent="0.3">
      <c r="B801" s="21">
        <v>7380</v>
      </c>
      <c r="C801" s="21">
        <v>0.5</v>
      </c>
      <c r="D801" s="21">
        <v>0.05</v>
      </c>
      <c r="E801" s="21">
        <v>1475.5444</v>
      </c>
      <c r="F801" s="21">
        <v>703</v>
      </c>
      <c r="G801" s="21">
        <v>53.219799999999999</v>
      </c>
      <c r="J801" s="21">
        <v>7380</v>
      </c>
      <c r="K801" s="21">
        <v>0.5</v>
      </c>
      <c r="L801" s="21">
        <v>0.05</v>
      </c>
      <c r="M801" s="21">
        <v>1492.596</v>
      </c>
      <c r="N801" s="21">
        <v>703</v>
      </c>
      <c r="O801" s="21">
        <v>54.324100000000001</v>
      </c>
      <c r="R801" s="21">
        <v>7380</v>
      </c>
      <c r="S801" s="21">
        <v>0.5</v>
      </c>
      <c r="T801" s="21">
        <v>0.05</v>
      </c>
      <c r="U801" s="21">
        <v>1494.6648</v>
      </c>
      <c r="V801" s="21">
        <v>703</v>
      </c>
      <c r="W801" s="21">
        <v>54.460299999999997</v>
      </c>
    </row>
    <row r="802" spans="2:23" x14ac:dyDescent="0.3">
      <c r="B802" s="21">
        <v>7580</v>
      </c>
      <c r="C802" s="21">
        <v>0.5</v>
      </c>
      <c r="D802" s="21">
        <v>0.05</v>
      </c>
      <c r="E802" s="21">
        <v>1478.2144000000001</v>
      </c>
      <c r="F802" s="21">
        <v>703</v>
      </c>
      <c r="G802" s="21">
        <v>53.390599999999999</v>
      </c>
      <c r="J802" s="21">
        <v>7580</v>
      </c>
      <c r="K802" s="21">
        <v>0.5</v>
      </c>
      <c r="L802" s="21">
        <v>0.05</v>
      </c>
      <c r="M802" s="21">
        <v>1495.1238000000001</v>
      </c>
      <c r="N802" s="21">
        <v>703</v>
      </c>
      <c r="O802" s="21">
        <v>54.490499999999997</v>
      </c>
      <c r="R802" s="21">
        <v>7580</v>
      </c>
      <c r="S802" s="21">
        <v>0.5</v>
      </c>
      <c r="T802" s="21">
        <v>0.05</v>
      </c>
      <c r="U802" s="21">
        <v>1497.1760999999999</v>
      </c>
      <c r="V802" s="21">
        <v>703</v>
      </c>
      <c r="W802" s="21">
        <v>54.626100000000001</v>
      </c>
    </row>
    <row r="803" spans="2:23" x14ac:dyDescent="0.3">
      <c r="B803" s="21">
        <v>7780</v>
      </c>
      <c r="C803" s="21">
        <v>0.5</v>
      </c>
      <c r="D803" s="21">
        <v>0.05</v>
      </c>
      <c r="E803" s="21">
        <v>1480.4729</v>
      </c>
      <c r="F803" s="21">
        <v>703</v>
      </c>
      <c r="G803" s="21">
        <v>53.535699999999999</v>
      </c>
      <c r="J803" s="21">
        <v>7780</v>
      </c>
      <c r="K803" s="21">
        <v>0.5</v>
      </c>
      <c r="L803" s="21">
        <v>0.05</v>
      </c>
      <c r="M803" s="21">
        <v>1497.2452000000001</v>
      </c>
      <c r="N803" s="21">
        <v>703</v>
      </c>
      <c r="O803" s="21">
        <v>54.630699999999997</v>
      </c>
      <c r="R803" s="21">
        <v>7780</v>
      </c>
      <c r="S803" s="21">
        <v>0.5</v>
      </c>
      <c r="T803" s="21">
        <v>0.05</v>
      </c>
      <c r="U803" s="21">
        <v>1499.2914000000001</v>
      </c>
      <c r="V803" s="21">
        <v>703</v>
      </c>
      <c r="W803" s="21">
        <v>54.766300000000001</v>
      </c>
    </row>
    <row r="804" spans="2:23" x14ac:dyDescent="0.3">
      <c r="B804" s="21">
        <v>7980</v>
      </c>
      <c r="C804" s="21">
        <v>0.5</v>
      </c>
      <c r="D804" s="21">
        <v>0.05</v>
      </c>
      <c r="E804" s="21">
        <v>1482.3617999999999</v>
      </c>
      <c r="F804" s="21">
        <v>703</v>
      </c>
      <c r="G804" s="21">
        <v>53.657499999999999</v>
      </c>
      <c r="J804" s="21">
        <v>7980</v>
      </c>
      <c r="K804" s="21">
        <v>0.5</v>
      </c>
      <c r="L804" s="21">
        <v>0.05</v>
      </c>
      <c r="M804" s="21">
        <v>1499.0364</v>
      </c>
      <c r="N804" s="21">
        <v>703</v>
      </c>
      <c r="O804" s="21">
        <v>54.749400000000001</v>
      </c>
      <c r="R804" s="21">
        <v>7980</v>
      </c>
      <c r="S804" s="21">
        <v>0.5</v>
      </c>
      <c r="T804" s="21">
        <v>0.05</v>
      </c>
      <c r="U804" s="21">
        <v>1501.0726</v>
      </c>
      <c r="V804" s="21">
        <v>703</v>
      </c>
      <c r="W804" s="21">
        <v>54.884700000000002</v>
      </c>
    </row>
    <row r="805" spans="2:23" x14ac:dyDescent="0.3">
      <c r="B805" s="21">
        <v>8180</v>
      </c>
      <c r="C805" s="21">
        <v>0.5</v>
      </c>
      <c r="D805" s="21">
        <v>0.05</v>
      </c>
      <c r="E805" s="21">
        <v>1483.9820999999999</v>
      </c>
      <c r="F805" s="21">
        <v>703</v>
      </c>
      <c r="G805" s="21">
        <v>53.762300000000003</v>
      </c>
      <c r="J805" s="21">
        <v>8180</v>
      </c>
      <c r="K805" s="21">
        <v>0.5</v>
      </c>
      <c r="L805" s="21">
        <v>0.05</v>
      </c>
      <c r="M805" s="21">
        <v>1500.5489</v>
      </c>
      <c r="N805" s="21">
        <v>703</v>
      </c>
      <c r="O805" s="21">
        <v>54.849899999999998</v>
      </c>
      <c r="R805" s="21">
        <v>8180</v>
      </c>
      <c r="S805" s="21">
        <v>0.5</v>
      </c>
      <c r="T805" s="21">
        <v>0.05</v>
      </c>
      <c r="U805" s="21">
        <v>1502.5712000000001</v>
      </c>
      <c r="V805" s="21">
        <v>703</v>
      </c>
      <c r="W805" s="21">
        <v>54.9846</v>
      </c>
    </row>
    <row r="806" spans="2:23" x14ac:dyDescent="0.3">
      <c r="B806" s="21">
        <v>8380</v>
      </c>
      <c r="C806" s="21">
        <v>0.5</v>
      </c>
      <c r="D806" s="21">
        <v>0.05</v>
      </c>
      <c r="E806" s="21">
        <v>1485.3273999999999</v>
      </c>
      <c r="F806" s="21">
        <v>703</v>
      </c>
      <c r="G806" s="21">
        <v>53.849499999999999</v>
      </c>
      <c r="J806" s="21">
        <v>8380</v>
      </c>
      <c r="K806" s="21">
        <v>0.5</v>
      </c>
      <c r="L806" s="21">
        <v>0.05</v>
      </c>
      <c r="M806" s="21">
        <v>1501.8240000000001</v>
      </c>
      <c r="N806" s="21">
        <v>703</v>
      </c>
      <c r="O806" s="21">
        <v>54.934800000000003</v>
      </c>
      <c r="R806" s="21">
        <v>8380</v>
      </c>
      <c r="S806" s="21">
        <v>0.5</v>
      </c>
      <c r="T806" s="21">
        <v>0.05</v>
      </c>
      <c r="U806" s="21">
        <v>1503.8320000000001</v>
      </c>
      <c r="V806" s="21">
        <v>703</v>
      </c>
      <c r="W806" s="21">
        <v>55.068800000000003</v>
      </c>
    </row>
    <row r="807" spans="2:23" x14ac:dyDescent="0.3">
      <c r="B807" s="21">
        <v>8400</v>
      </c>
      <c r="C807" s="21">
        <v>0.5</v>
      </c>
      <c r="D807" s="21">
        <v>0.05</v>
      </c>
      <c r="E807" s="21">
        <v>1485.4693</v>
      </c>
      <c r="F807" s="21">
        <v>703</v>
      </c>
      <c r="G807" s="21">
        <v>53.858699999999999</v>
      </c>
      <c r="J807" s="21">
        <v>8400</v>
      </c>
      <c r="K807" s="21">
        <v>0.5</v>
      </c>
      <c r="L807" s="21">
        <v>0.05</v>
      </c>
      <c r="M807" s="21">
        <v>1501.9570000000001</v>
      </c>
      <c r="N807" s="21">
        <v>703</v>
      </c>
      <c r="O807" s="21">
        <v>54.943600000000004</v>
      </c>
      <c r="R807" s="21">
        <v>8400</v>
      </c>
      <c r="S807" s="21">
        <v>0.5</v>
      </c>
      <c r="T807" s="21">
        <v>0.05</v>
      </c>
      <c r="U807" s="21">
        <v>1503.9580000000001</v>
      </c>
      <c r="V807" s="21">
        <v>703</v>
      </c>
      <c r="W807" s="21">
        <v>55.077300000000001</v>
      </c>
    </row>
    <row r="808" spans="2:23" x14ac:dyDescent="0.3">
      <c r="B808" s="21">
        <v>8600</v>
      </c>
      <c r="C808" s="21">
        <v>0.5</v>
      </c>
      <c r="D808" s="21">
        <v>0.05</v>
      </c>
      <c r="E808" s="21">
        <v>1478.9266</v>
      </c>
      <c r="F808" s="21">
        <v>703</v>
      </c>
      <c r="G808" s="21">
        <v>53.436300000000003</v>
      </c>
      <c r="J808" s="21">
        <v>8600</v>
      </c>
      <c r="K808" s="21">
        <v>0.5</v>
      </c>
      <c r="L808" s="21">
        <v>0.05</v>
      </c>
      <c r="M808" s="21">
        <v>1491.4808</v>
      </c>
      <c r="N808" s="21">
        <v>703</v>
      </c>
      <c r="O808" s="21">
        <v>54.250999999999998</v>
      </c>
      <c r="R808" s="21">
        <v>8600</v>
      </c>
      <c r="S808" s="21">
        <v>0.5</v>
      </c>
      <c r="T808" s="21">
        <v>0.05</v>
      </c>
      <c r="U808" s="21">
        <v>1492.9662000000001</v>
      </c>
      <c r="V808" s="21">
        <v>703</v>
      </c>
      <c r="W808" s="21">
        <v>54.348500000000001</v>
      </c>
    </row>
    <row r="809" spans="2:23" x14ac:dyDescent="0.3">
      <c r="B809" s="21">
        <v>8800</v>
      </c>
      <c r="C809" s="21">
        <v>0.5</v>
      </c>
      <c r="D809" s="21">
        <v>0.05</v>
      </c>
      <c r="E809" s="21">
        <v>1471.5094999999999</v>
      </c>
      <c r="F809" s="21">
        <v>703</v>
      </c>
      <c r="G809" s="21">
        <v>52.963099999999997</v>
      </c>
      <c r="J809" s="21">
        <v>8800</v>
      </c>
      <c r="K809" s="21">
        <v>0.5</v>
      </c>
      <c r="L809" s="21">
        <v>0.05</v>
      </c>
      <c r="M809" s="21">
        <v>1480.6342</v>
      </c>
      <c r="N809" s="21">
        <v>703</v>
      </c>
      <c r="O809" s="21">
        <v>53.546100000000003</v>
      </c>
      <c r="R809" s="21">
        <v>8800</v>
      </c>
      <c r="S809" s="21">
        <v>0.5</v>
      </c>
      <c r="T809" s="21">
        <v>0.05</v>
      </c>
      <c r="U809" s="21">
        <v>1481.6726000000001</v>
      </c>
      <c r="V809" s="21">
        <v>703</v>
      </c>
      <c r="W809" s="21">
        <v>53.613</v>
      </c>
    </row>
    <row r="810" spans="2:23" x14ac:dyDescent="0.3">
      <c r="B810" s="21">
        <v>9000</v>
      </c>
      <c r="C810" s="21">
        <v>0.5</v>
      </c>
      <c r="D810" s="21">
        <v>0.05</v>
      </c>
      <c r="E810" s="21">
        <v>1465.0600999999999</v>
      </c>
      <c r="F810" s="21">
        <v>703</v>
      </c>
      <c r="G810" s="21">
        <v>52.556600000000003</v>
      </c>
      <c r="J810" s="21">
        <v>9000</v>
      </c>
      <c r="K810" s="21">
        <v>0.5</v>
      </c>
      <c r="L810" s="21">
        <v>0.05</v>
      </c>
      <c r="M810" s="21">
        <v>1471.2011</v>
      </c>
      <c r="N810" s="21">
        <v>703</v>
      </c>
      <c r="O810" s="21">
        <v>52.9435</v>
      </c>
      <c r="R810" s="21">
        <v>9000</v>
      </c>
      <c r="S810" s="21">
        <v>0.5</v>
      </c>
      <c r="T810" s="21">
        <v>0.05</v>
      </c>
      <c r="U810" s="21">
        <v>1471.8483000000001</v>
      </c>
      <c r="V810" s="21">
        <v>703</v>
      </c>
      <c r="W810" s="21">
        <v>52.9846</v>
      </c>
    </row>
    <row r="811" spans="2:23" x14ac:dyDescent="0.3">
      <c r="B811" s="21">
        <v>9200</v>
      </c>
      <c r="C811" s="21">
        <v>0.5</v>
      </c>
      <c r="D811" s="21">
        <v>0.05</v>
      </c>
      <c r="E811" s="21">
        <v>1459.5581999999999</v>
      </c>
      <c r="F811" s="21">
        <v>703</v>
      </c>
      <c r="G811" s="21">
        <v>52.213500000000003</v>
      </c>
      <c r="J811" s="21">
        <v>9200</v>
      </c>
      <c r="K811" s="21">
        <v>0.5</v>
      </c>
      <c r="L811" s="21">
        <v>0.05</v>
      </c>
      <c r="M811" s="21">
        <v>1463.1084000000001</v>
      </c>
      <c r="N811" s="21">
        <v>703</v>
      </c>
      <c r="O811" s="21">
        <v>52.4345</v>
      </c>
      <c r="R811" s="21">
        <v>9200</v>
      </c>
      <c r="S811" s="21">
        <v>0.5</v>
      </c>
      <c r="T811" s="21">
        <v>0.05</v>
      </c>
      <c r="U811" s="21">
        <v>1463.4136000000001</v>
      </c>
      <c r="V811" s="21">
        <v>703</v>
      </c>
      <c r="W811" s="21">
        <v>52.453600000000002</v>
      </c>
    </row>
    <row r="812" spans="2:23" x14ac:dyDescent="0.3">
      <c r="B812" s="21">
        <v>9400</v>
      </c>
      <c r="C812" s="21">
        <v>0.5</v>
      </c>
      <c r="D812" s="21">
        <v>0.05</v>
      </c>
      <c r="E812" s="21">
        <v>1454.8744999999999</v>
      </c>
      <c r="F812" s="21">
        <v>703</v>
      </c>
      <c r="G812" s="21">
        <v>51.924199999999999</v>
      </c>
      <c r="J812" s="21">
        <v>9400</v>
      </c>
      <c r="K812" s="21">
        <v>0.5</v>
      </c>
      <c r="L812" s="21">
        <v>0.05</v>
      </c>
      <c r="M812" s="21">
        <v>1456.1380999999999</v>
      </c>
      <c r="N812" s="21">
        <v>703</v>
      </c>
      <c r="O812" s="21">
        <v>52.002000000000002</v>
      </c>
      <c r="R812" s="21">
        <v>9400</v>
      </c>
      <c r="S812" s="21">
        <v>0.5</v>
      </c>
      <c r="T812" s="21">
        <v>0.05</v>
      </c>
      <c r="U812" s="21">
        <v>1456.1468</v>
      </c>
      <c r="V812" s="21">
        <v>703</v>
      </c>
      <c r="W812" s="21">
        <v>52.002499999999998</v>
      </c>
    </row>
    <row r="813" spans="2:23" x14ac:dyDescent="0.3">
      <c r="B813" s="21">
        <v>9600</v>
      </c>
      <c r="C813" s="21">
        <v>0.5</v>
      </c>
      <c r="D813" s="21">
        <v>0.05</v>
      </c>
      <c r="E813" s="21">
        <v>1450.8566000000001</v>
      </c>
      <c r="F813" s="21">
        <v>703</v>
      </c>
      <c r="G813" s="21">
        <v>51.677999999999997</v>
      </c>
      <c r="J813" s="21">
        <v>9600</v>
      </c>
      <c r="K813" s="21">
        <v>0.5</v>
      </c>
      <c r="L813" s="21">
        <v>0.05</v>
      </c>
      <c r="M813" s="21">
        <v>1450.1198999999999</v>
      </c>
      <c r="N813" s="21">
        <v>703</v>
      </c>
      <c r="O813" s="21">
        <v>51.633099999999999</v>
      </c>
      <c r="R813" s="21">
        <v>9600</v>
      </c>
      <c r="S813" s="21">
        <v>0.5</v>
      </c>
      <c r="T813" s="21">
        <v>0.05</v>
      </c>
      <c r="U813" s="21">
        <v>1449.8692000000001</v>
      </c>
      <c r="V813" s="21">
        <v>703</v>
      </c>
      <c r="W813" s="21">
        <v>51.617800000000003</v>
      </c>
    </row>
    <row r="814" spans="2:23" x14ac:dyDescent="0.3">
      <c r="B814" s="21">
        <v>9800</v>
      </c>
      <c r="C814" s="21">
        <v>0.5</v>
      </c>
      <c r="D814" s="21">
        <v>0.05</v>
      </c>
      <c r="E814" s="21">
        <v>1447.4263000000001</v>
      </c>
      <c r="F814" s="21">
        <v>703</v>
      </c>
      <c r="G814" s="21">
        <v>51.469299999999997</v>
      </c>
      <c r="J814" s="21">
        <v>9800</v>
      </c>
      <c r="K814" s="21">
        <v>0.5</v>
      </c>
      <c r="L814" s="21">
        <v>0.05</v>
      </c>
      <c r="M814" s="21">
        <v>1444.9168</v>
      </c>
      <c r="N814" s="21">
        <v>703</v>
      </c>
      <c r="O814" s="21">
        <v>51.317500000000003</v>
      </c>
      <c r="R814" s="21">
        <v>9800</v>
      </c>
      <c r="S814" s="21">
        <v>0.5</v>
      </c>
      <c r="T814" s="21">
        <v>0.05</v>
      </c>
      <c r="U814" s="21">
        <v>1444.4360999999999</v>
      </c>
      <c r="V814" s="21">
        <v>703</v>
      </c>
      <c r="W814" s="21">
        <v>51.288499999999999</v>
      </c>
    </row>
    <row r="815" spans="2:23" x14ac:dyDescent="0.3">
      <c r="B815" s="21">
        <v>10000</v>
      </c>
      <c r="C815" s="21">
        <v>0.5</v>
      </c>
      <c r="D815" s="21">
        <v>0.05</v>
      </c>
      <c r="E815" s="21">
        <v>1444.4711</v>
      </c>
      <c r="F815" s="21">
        <v>703</v>
      </c>
      <c r="G815" s="21">
        <v>51.290599999999998</v>
      </c>
      <c r="J815" s="21">
        <v>10000</v>
      </c>
      <c r="K815" s="21">
        <v>0.5</v>
      </c>
      <c r="L815" s="21">
        <v>0.05</v>
      </c>
      <c r="M815" s="21">
        <v>1440.4150999999999</v>
      </c>
      <c r="N815" s="21">
        <v>703</v>
      </c>
      <c r="O815" s="21">
        <v>51.0471</v>
      </c>
      <c r="R815" s="21">
        <v>10000</v>
      </c>
      <c r="S815" s="21">
        <v>0.5</v>
      </c>
      <c r="T815" s="21">
        <v>0.05</v>
      </c>
      <c r="U815" s="21">
        <v>1439.7338</v>
      </c>
      <c r="V815" s="21">
        <v>703</v>
      </c>
      <c r="W815" s="21">
        <v>51.006399999999999</v>
      </c>
    </row>
    <row r="816" spans="2:23" x14ac:dyDescent="0.3">
      <c r="B816" s="21">
        <v>10200</v>
      </c>
      <c r="C816" s="21">
        <v>0.5</v>
      </c>
      <c r="D816" s="21">
        <v>0.05</v>
      </c>
      <c r="E816" s="21">
        <v>1441.9426000000001</v>
      </c>
      <c r="F816" s="21">
        <v>703</v>
      </c>
      <c r="G816" s="21">
        <v>51.138599999999997</v>
      </c>
      <c r="J816" s="21">
        <v>10200</v>
      </c>
      <c r="K816" s="21">
        <v>0.5</v>
      </c>
      <c r="L816" s="21">
        <v>0.05</v>
      </c>
      <c r="M816" s="21">
        <v>1436.5199</v>
      </c>
      <c r="N816" s="21">
        <v>703</v>
      </c>
      <c r="O816" s="21">
        <v>50.814999999999998</v>
      </c>
      <c r="R816" s="21">
        <v>10200</v>
      </c>
      <c r="S816" s="21">
        <v>0.5</v>
      </c>
      <c r="T816" s="21">
        <v>0.05</v>
      </c>
      <c r="U816" s="21">
        <v>1435.6563000000001</v>
      </c>
      <c r="V816" s="21">
        <v>703</v>
      </c>
      <c r="W816" s="21">
        <v>50.763800000000003</v>
      </c>
    </row>
    <row r="817" spans="2:23" x14ac:dyDescent="0.3">
      <c r="B817" s="21">
        <v>10400</v>
      </c>
      <c r="C817" s="21">
        <v>0.5</v>
      </c>
      <c r="D817" s="21">
        <v>0.05</v>
      </c>
      <c r="E817" s="21">
        <v>1439.7746</v>
      </c>
      <c r="F817" s="21">
        <v>703</v>
      </c>
      <c r="G817" s="21">
        <v>51.008800000000001</v>
      </c>
      <c r="J817" s="21">
        <v>10400</v>
      </c>
      <c r="K817" s="21">
        <v>0.5</v>
      </c>
      <c r="L817" s="21">
        <v>0.05</v>
      </c>
      <c r="M817" s="21">
        <v>1433.1375</v>
      </c>
      <c r="N817" s="21">
        <v>703</v>
      </c>
      <c r="O817" s="21">
        <v>50.614899999999999</v>
      </c>
      <c r="R817" s="21">
        <v>10400</v>
      </c>
      <c r="S817" s="21">
        <v>0.5</v>
      </c>
      <c r="T817" s="21">
        <v>0.05</v>
      </c>
      <c r="U817" s="21">
        <v>1432.1183000000001</v>
      </c>
      <c r="V817" s="21">
        <v>703</v>
      </c>
      <c r="W817" s="21">
        <v>50.554900000000004</v>
      </c>
    </row>
    <row r="818" spans="2:23" x14ac:dyDescent="0.3">
      <c r="B818" s="21">
        <v>10600</v>
      </c>
      <c r="C818" s="21">
        <v>0.5</v>
      </c>
      <c r="D818" s="21">
        <v>0.05</v>
      </c>
      <c r="E818" s="21">
        <v>1437.9086</v>
      </c>
      <c r="F818" s="21">
        <v>703</v>
      </c>
      <c r="G818" s="21">
        <v>50.897500000000001</v>
      </c>
      <c r="J818" s="21">
        <v>10600</v>
      </c>
      <c r="K818" s="21">
        <v>0.5</v>
      </c>
      <c r="L818" s="21">
        <v>0.05</v>
      </c>
      <c r="M818" s="21">
        <v>1430.1991</v>
      </c>
      <c r="N818" s="21">
        <v>703</v>
      </c>
      <c r="O818" s="21">
        <v>50.442300000000003</v>
      </c>
      <c r="R818" s="21">
        <v>10600</v>
      </c>
      <c r="S818" s="21">
        <v>0.5</v>
      </c>
      <c r="T818" s="21">
        <v>0.05</v>
      </c>
      <c r="U818" s="21">
        <v>1429.0481</v>
      </c>
      <c r="V818" s="21">
        <v>703</v>
      </c>
      <c r="W818" s="21">
        <v>50.374899999999997</v>
      </c>
    </row>
    <row r="819" spans="2:23" x14ac:dyDescent="0.3">
      <c r="B819" s="21">
        <v>10800</v>
      </c>
      <c r="C819" s="21">
        <v>0.5</v>
      </c>
      <c r="D819" s="21">
        <v>0.05</v>
      </c>
      <c r="E819" s="21">
        <v>1436.3194000000001</v>
      </c>
      <c r="F819" s="21">
        <v>703</v>
      </c>
      <c r="G819" s="21">
        <v>50.803100000000001</v>
      </c>
      <c r="J819" s="21">
        <v>10800</v>
      </c>
      <c r="K819" s="21">
        <v>0.5</v>
      </c>
      <c r="L819" s="21">
        <v>0.05</v>
      </c>
      <c r="M819" s="21">
        <v>1427.6612</v>
      </c>
      <c r="N819" s="21">
        <v>703</v>
      </c>
      <c r="O819" s="21">
        <v>50.293999999999997</v>
      </c>
      <c r="R819" s="21">
        <v>10800</v>
      </c>
      <c r="S819" s="21">
        <v>0.5</v>
      </c>
      <c r="T819" s="21">
        <v>0.05</v>
      </c>
      <c r="U819" s="21">
        <v>1426.3832</v>
      </c>
      <c r="V819" s="21">
        <v>703</v>
      </c>
      <c r="W819" s="21">
        <v>50.2196</v>
      </c>
    </row>
    <row r="820" spans="2:23" x14ac:dyDescent="0.3">
      <c r="B820" s="21">
        <v>11000</v>
      </c>
      <c r="C820" s="21">
        <v>0.5</v>
      </c>
      <c r="D820" s="21">
        <v>0.05</v>
      </c>
      <c r="E820" s="21">
        <v>1434.9356</v>
      </c>
      <c r="F820" s="21">
        <v>703</v>
      </c>
      <c r="G820" s="21">
        <v>50.7211</v>
      </c>
      <c r="J820" s="21">
        <v>11000</v>
      </c>
      <c r="K820" s="21">
        <v>0.5</v>
      </c>
      <c r="L820" s="21">
        <v>0.05</v>
      </c>
      <c r="M820" s="21">
        <v>1425.4594</v>
      </c>
      <c r="N820" s="21">
        <v>703</v>
      </c>
      <c r="O820" s="21">
        <v>50.165900000000001</v>
      </c>
      <c r="R820" s="21">
        <v>11000</v>
      </c>
      <c r="S820" s="21">
        <v>0.5</v>
      </c>
      <c r="T820" s="21">
        <v>0.05</v>
      </c>
      <c r="U820" s="21">
        <v>1424.0709999999999</v>
      </c>
      <c r="V820" s="21">
        <v>703</v>
      </c>
      <c r="W820" s="21">
        <v>50.085500000000003</v>
      </c>
    </row>
    <row r="821" spans="2:23" x14ac:dyDescent="0.3">
      <c r="B821" s="21">
        <v>11200</v>
      </c>
      <c r="C821" s="21">
        <v>0.5</v>
      </c>
      <c r="D821" s="21">
        <v>0.05</v>
      </c>
      <c r="E821" s="21">
        <v>1433.7663</v>
      </c>
      <c r="F821" s="21">
        <v>703</v>
      </c>
      <c r="G821" s="21">
        <v>50.652000000000001</v>
      </c>
      <c r="J821" s="21">
        <v>11200</v>
      </c>
      <c r="K821" s="21">
        <v>0.5</v>
      </c>
      <c r="L821" s="21">
        <v>0.05</v>
      </c>
      <c r="M821" s="21">
        <v>1423.5495000000001</v>
      </c>
      <c r="N821" s="21">
        <v>703</v>
      </c>
      <c r="O821" s="21">
        <v>50.055399999999999</v>
      </c>
      <c r="R821" s="21">
        <v>11200</v>
      </c>
      <c r="S821" s="21">
        <v>0.5</v>
      </c>
      <c r="T821" s="21">
        <v>0.05</v>
      </c>
      <c r="U821" s="21">
        <v>1422.0646999999999</v>
      </c>
      <c r="V821" s="21">
        <v>703</v>
      </c>
      <c r="W821" s="21">
        <v>49.969700000000003</v>
      </c>
    </row>
    <row r="822" spans="2:23" x14ac:dyDescent="0.3">
      <c r="B822" s="21">
        <v>11400</v>
      </c>
      <c r="C822" s="21">
        <v>0.5</v>
      </c>
      <c r="D822" s="21">
        <v>0.05</v>
      </c>
      <c r="E822" s="21">
        <v>1432.7469000000001</v>
      </c>
      <c r="F822" s="21">
        <v>703</v>
      </c>
      <c r="G822" s="21">
        <v>50.591900000000003</v>
      </c>
      <c r="J822" s="21">
        <v>11400</v>
      </c>
      <c r="K822" s="21">
        <v>0.5</v>
      </c>
      <c r="L822" s="21">
        <v>0.05</v>
      </c>
      <c r="M822" s="21">
        <v>1421.8957</v>
      </c>
      <c r="N822" s="21">
        <v>703</v>
      </c>
      <c r="O822" s="21">
        <v>49.96</v>
      </c>
      <c r="R822" s="21">
        <v>11400</v>
      </c>
      <c r="S822" s="21">
        <v>0.5</v>
      </c>
      <c r="T822" s="21">
        <v>0.05</v>
      </c>
      <c r="U822" s="21">
        <v>1420.3249000000001</v>
      </c>
      <c r="V822" s="21">
        <v>703</v>
      </c>
      <c r="W822" s="21">
        <v>49.869700000000002</v>
      </c>
    </row>
    <row r="823" spans="2:23" x14ac:dyDescent="0.3">
      <c r="B823" s="21">
        <v>11600</v>
      </c>
      <c r="C823" s="21">
        <v>0.5</v>
      </c>
      <c r="D823" s="21">
        <v>0.05</v>
      </c>
      <c r="E823" s="21">
        <v>1431.8933</v>
      </c>
      <c r="F823" s="21">
        <v>703</v>
      </c>
      <c r="G823" s="21">
        <v>50.541699999999999</v>
      </c>
      <c r="J823" s="21">
        <v>11600</v>
      </c>
      <c r="K823" s="21">
        <v>0.5</v>
      </c>
      <c r="L823" s="21">
        <v>0.05</v>
      </c>
      <c r="M823" s="21">
        <v>1420.4648999999999</v>
      </c>
      <c r="N823" s="21">
        <v>703</v>
      </c>
      <c r="O823" s="21">
        <v>49.877699999999997</v>
      </c>
      <c r="R823" s="21">
        <v>11600</v>
      </c>
      <c r="S823" s="21">
        <v>0.5</v>
      </c>
      <c r="T823" s="21">
        <v>0.05</v>
      </c>
      <c r="U823" s="21">
        <v>1418.8104000000001</v>
      </c>
      <c r="V823" s="21">
        <v>703</v>
      </c>
      <c r="W823" s="21">
        <v>49.782899999999998</v>
      </c>
    </row>
    <row r="824" spans="2:23" x14ac:dyDescent="0.3">
      <c r="B824" s="21">
        <v>11800</v>
      </c>
      <c r="C824" s="21">
        <v>0.5</v>
      </c>
      <c r="D824" s="21">
        <v>0.05</v>
      </c>
      <c r="E824" s="21">
        <v>1431.145</v>
      </c>
      <c r="F824" s="21">
        <v>703</v>
      </c>
      <c r="G824" s="21">
        <v>50.497700000000002</v>
      </c>
      <c r="J824" s="21">
        <v>11800</v>
      </c>
      <c r="K824" s="21">
        <v>0.5</v>
      </c>
      <c r="L824" s="21">
        <v>0.05</v>
      </c>
      <c r="M824" s="21">
        <v>1419.2152000000001</v>
      </c>
      <c r="N824" s="21">
        <v>703</v>
      </c>
      <c r="O824" s="21">
        <v>49.806100000000001</v>
      </c>
      <c r="R824" s="21">
        <v>11800</v>
      </c>
      <c r="S824" s="21">
        <v>0.5</v>
      </c>
      <c r="T824" s="21">
        <v>0.05</v>
      </c>
      <c r="U824" s="21">
        <v>1417.498</v>
      </c>
      <c r="V824" s="21">
        <v>703</v>
      </c>
      <c r="W824" s="21">
        <v>49.707900000000002</v>
      </c>
    </row>
    <row r="825" spans="2:23" x14ac:dyDescent="0.3">
      <c r="B825" s="21">
        <v>12000</v>
      </c>
      <c r="C825" s="21">
        <v>0.5</v>
      </c>
      <c r="D825" s="21">
        <v>0.05</v>
      </c>
      <c r="E825" s="21">
        <v>1430.5225</v>
      </c>
      <c r="F825" s="21">
        <v>703</v>
      </c>
      <c r="G825" s="21">
        <v>50.461199999999998</v>
      </c>
      <c r="J825" s="21">
        <v>12000</v>
      </c>
      <c r="K825" s="21">
        <v>0.5</v>
      </c>
      <c r="L825" s="21">
        <v>0.05</v>
      </c>
      <c r="M825" s="21">
        <v>1418.1389999999999</v>
      </c>
      <c r="N825" s="21">
        <v>703</v>
      </c>
      <c r="O825" s="21">
        <v>49.744500000000002</v>
      </c>
      <c r="R825" s="21">
        <v>12000</v>
      </c>
      <c r="S825" s="21">
        <v>0.5</v>
      </c>
      <c r="T825" s="21">
        <v>0.05</v>
      </c>
      <c r="U825" s="21">
        <v>1416.3617999999999</v>
      </c>
      <c r="V825" s="21">
        <v>703</v>
      </c>
      <c r="W825" s="21">
        <v>49.6432</v>
      </c>
    </row>
    <row r="826" spans="2:23" x14ac:dyDescent="0.3">
      <c r="B826" s="21">
        <v>12200</v>
      </c>
      <c r="C826" s="21">
        <v>0.5</v>
      </c>
      <c r="D826" s="21">
        <v>0.05</v>
      </c>
      <c r="E826" s="21">
        <v>1429.9681</v>
      </c>
      <c r="F826" s="21">
        <v>703</v>
      </c>
      <c r="G826" s="21">
        <v>50.428699999999999</v>
      </c>
      <c r="J826" s="21">
        <v>12200</v>
      </c>
      <c r="K826" s="21">
        <v>0.5</v>
      </c>
      <c r="L826" s="21">
        <v>0.05</v>
      </c>
      <c r="M826" s="21">
        <v>1417.2144000000001</v>
      </c>
      <c r="N826" s="21">
        <v>703</v>
      </c>
      <c r="O826" s="21">
        <v>49.691800000000001</v>
      </c>
      <c r="R826" s="21">
        <v>12200</v>
      </c>
      <c r="S826" s="21">
        <v>0.5</v>
      </c>
      <c r="T826" s="21">
        <v>0.05</v>
      </c>
      <c r="U826" s="21">
        <v>1415.3782000000001</v>
      </c>
      <c r="V826" s="21">
        <v>703</v>
      </c>
      <c r="W826" s="21">
        <v>49.587299999999999</v>
      </c>
    </row>
    <row r="827" spans="2:23" x14ac:dyDescent="0.3">
      <c r="B827" s="21">
        <v>12400</v>
      </c>
      <c r="C827" s="21">
        <v>0.5</v>
      </c>
      <c r="D827" s="21">
        <v>0.05</v>
      </c>
      <c r="E827" s="21">
        <v>1429.5060000000001</v>
      </c>
      <c r="F827" s="21">
        <v>703</v>
      </c>
      <c r="G827" s="21">
        <v>50.401699999999998</v>
      </c>
      <c r="J827" s="21">
        <v>12400</v>
      </c>
      <c r="K827" s="21">
        <v>0.5</v>
      </c>
      <c r="L827" s="21">
        <v>0.05</v>
      </c>
      <c r="M827" s="21">
        <v>1416.4087</v>
      </c>
      <c r="N827" s="21">
        <v>703</v>
      </c>
      <c r="O827" s="21">
        <v>49.645899999999997</v>
      </c>
      <c r="R827" s="21">
        <v>12400</v>
      </c>
      <c r="S827" s="21">
        <v>0.5</v>
      </c>
      <c r="T827" s="21">
        <v>0.05</v>
      </c>
      <c r="U827" s="21">
        <v>1414.5279</v>
      </c>
      <c r="V827" s="21">
        <v>703</v>
      </c>
      <c r="W827" s="21">
        <v>49.539099999999998</v>
      </c>
    </row>
    <row r="828" spans="2:23" x14ac:dyDescent="0.3">
      <c r="B828" s="21">
        <v>12600</v>
      </c>
      <c r="C828" s="21">
        <v>0.5</v>
      </c>
      <c r="D828" s="21">
        <v>0.05</v>
      </c>
      <c r="E828" s="21">
        <v>1429.1056000000001</v>
      </c>
      <c r="F828" s="21">
        <v>703</v>
      </c>
      <c r="G828" s="21">
        <v>50.378300000000003</v>
      </c>
      <c r="J828" s="21">
        <v>12600</v>
      </c>
      <c r="K828" s="21">
        <v>0.5</v>
      </c>
      <c r="L828" s="21">
        <v>0.05</v>
      </c>
      <c r="M828" s="21">
        <v>1415.7074</v>
      </c>
      <c r="N828" s="21">
        <v>703</v>
      </c>
      <c r="O828" s="21">
        <v>49.606000000000002</v>
      </c>
      <c r="R828" s="21">
        <v>12600</v>
      </c>
      <c r="S828" s="21">
        <v>0.5</v>
      </c>
      <c r="T828" s="21">
        <v>0.05</v>
      </c>
      <c r="U828" s="21">
        <v>1413.7928999999999</v>
      </c>
      <c r="V828" s="21">
        <v>703</v>
      </c>
      <c r="W828" s="21">
        <v>49.497500000000002</v>
      </c>
    </row>
    <row r="829" spans="2:23" x14ac:dyDescent="0.3">
      <c r="B829" s="21">
        <v>12800</v>
      </c>
      <c r="C829" s="21">
        <v>0.5</v>
      </c>
      <c r="D829" s="21">
        <v>0.05</v>
      </c>
      <c r="E829" s="21">
        <v>1428.7650000000001</v>
      </c>
      <c r="F829" s="21">
        <v>703</v>
      </c>
      <c r="G829" s="21">
        <v>50.358400000000003</v>
      </c>
      <c r="J829" s="21">
        <v>12800</v>
      </c>
      <c r="K829" s="21">
        <v>0.5</v>
      </c>
      <c r="L829" s="21">
        <v>0.05</v>
      </c>
      <c r="M829" s="21">
        <v>1415.1142</v>
      </c>
      <c r="N829" s="21">
        <v>703</v>
      </c>
      <c r="O829" s="21">
        <v>49.572299999999998</v>
      </c>
      <c r="R829" s="21">
        <v>12800</v>
      </c>
      <c r="S829" s="21">
        <v>0.5</v>
      </c>
      <c r="T829" s="21">
        <v>0.05</v>
      </c>
      <c r="U829" s="21">
        <v>1413.1586</v>
      </c>
      <c r="V829" s="21">
        <v>703</v>
      </c>
      <c r="W829" s="21">
        <v>49.461599999999997</v>
      </c>
    </row>
    <row r="830" spans="2:23" x14ac:dyDescent="0.3">
      <c r="B830" s="21">
        <v>13000</v>
      </c>
      <c r="C830" s="21">
        <v>0.5</v>
      </c>
      <c r="D830" s="21">
        <v>0.05</v>
      </c>
      <c r="E830" s="21">
        <v>1428.4827</v>
      </c>
      <c r="F830" s="21">
        <v>703</v>
      </c>
      <c r="G830" s="21">
        <v>50.341900000000003</v>
      </c>
      <c r="J830" s="21">
        <v>13000</v>
      </c>
      <c r="K830" s="21">
        <v>0.5</v>
      </c>
      <c r="L830" s="21">
        <v>0.05</v>
      </c>
      <c r="M830" s="21">
        <v>1414.6012000000001</v>
      </c>
      <c r="N830" s="21">
        <v>703</v>
      </c>
      <c r="O830" s="21">
        <v>49.543199999999999</v>
      </c>
      <c r="R830" s="21">
        <v>13000</v>
      </c>
      <c r="S830" s="21">
        <v>0.5</v>
      </c>
      <c r="T830" s="21">
        <v>0.05</v>
      </c>
      <c r="U830" s="21">
        <v>1412.6112000000001</v>
      </c>
      <c r="V830" s="21">
        <v>703</v>
      </c>
      <c r="W830" s="21">
        <v>49.430700000000002</v>
      </c>
    </row>
    <row r="831" spans="2:23" x14ac:dyDescent="0.3">
      <c r="B831" s="21">
        <v>13200</v>
      </c>
      <c r="C831" s="21">
        <v>0.5</v>
      </c>
      <c r="D831" s="21">
        <v>0.05</v>
      </c>
      <c r="E831" s="21">
        <v>1428.2294999999999</v>
      </c>
      <c r="F831" s="21">
        <v>703</v>
      </c>
      <c r="G831" s="21">
        <v>50.327100000000002</v>
      </c>
      <c r="J831" s="21">
        <v>13200</v>
      </c>
      <c r="K831" s="21">
        <v>0.5</v>
      </c>
      <c r="L831" s="21">
        <v>0.05</v>
      </c>
      <c r="M831" s="21">
        <v>1414.1595</v>
      </c>
      <c r="N831" s="21">
        <v>703</v>
      </c>
      <c r="O831" s="21">
        <v>49.5182</v>
      </c>
      <c r="R831" s="21">
        <v>13200</v>
      </c>
      <c r="S831" s="21">
        <v>0.5</v>
      </c>
      <c r="T831" s="21">
        <v>0.05</v>
      </c>
      <c r="U831" s="21">
        <v>1412.1324</v>
      </c>
      <c r="V831" s="21">
        <v>703</v>
      </c>
      <c r="W831" s="21">
        <v>49.403700000000001</v>
      </c>
    </row>
    <row r="832" spans="2:23" x14ac:dyDescent="0.3">
      <c r="B832" s="21">
        <v>13400</v>
      </c>
      <c r="C832" s="21">
        <v>0.5</v>
      </c>
      <c r="D832" s="21">
        <v>0.05</v>
      </c>
      <c r="E832" s="21">
        <v>1428.0326</v>
      </c>
      <c r="F832" s="21">
        <v>703</v>
      </c>
      <c r="G832" s="21">
        <v>50.315600000000003</v>
      </c>
      <c r="J832" s="21">
        <v>13400</v>
      </c>
      <c r="K832" s="21">
        <v>0.5</v>
      </c>
      <c r="L832" s="21">
        <v>0.05</v>
      </c>
      <c r="M832" s="21">
        <v>1413.7655</v>
      </c>
      <c r="N832" s="21">
        <v>703</v>
      </c>
      <c r="O832" s="21">
        <v>49.495899999999999</v>
      </c>
      <c r="R832" s="21">
        <v>13400</v>
      </c>
      <c r="S832" s="21">
        <v>0.5</v>
      </c>
      <c r="T832" s="21">
        <v>0.05</v>
      </c>
      <c r="U832" s="21">
        <v>1411.7203</v>
      </c>
      <c r="V832" s="21">
        <v>703</v>
      </c>
      <c r="W832" s="21">
        <v>49.380499999999998</v>
      </c>
    </row>
    <row r="833" spans="2:23" x14ac:dyDescent="0.3">
      <c r="B833" s="21">
        <v>13600</v>
      </c>
      <c r="C833" s="21">
        <v>0.5</v>
      </c>
      <c r="D833" s="21">
        <v>0.05</v>
      </c>
      <c r="E833" s="21">
        <v>1427.8376000000001</v>
      </c>
      <c r="F833" s="21">
        <v>703</v>
      </c>
      <c r="G833" s="21">
        <v>50.304299999999998</v>
      </c>
      <c r="J833" s="21">
        <v>13600</v>
      </c>
      <c r="K833" s="21">
        <v>0.5</v>
      </c>
      <c r="L833" s="21">
        <v>0.05</v>
      </c>
      <c r="M833" s="21">
        <v>1413.4296999999999</v>
      </c>
      <c r="N833" s="21">
        <v>703</v>
      </c>
      <c r="O833" s="21">
        <v>49.476900000000001</v>
      </c>
      <c r="R833" s="21">
        <v>13600</v>
      </c>
      <c r="S833" s="21">
        <v>0.5</v>
      </c>
      <c r="T833" s="21">
        <v>0.05</v>
      </c>
      <c r="U833" s="21">
        <v>1411.3655000000001</v>
      </c>
      <c r="V833" s="21">
        <v>703</v>
      </c>
      <c r="W833" s="21">
        <v>49.360500000000002</v>
      </c>
    </row>
    <row r="834" spans="2:23" x14ac:dyDescent="0.3">
      <c r="B834" s="21">
        <v>13800</v>
      </c>
      <c r="C834" s="21">
        <v>0.5</v>
      </c>
      <c r="D834" s="21">
        <v>0.05</v>
      </c>
      <c r="E834" s="21">
        <v>1427.6977999999999</v>
      </c>
      <c r="F834" s="21">
        <v>703</v>
      </c>
      <c r="G834" s="21">
        <v>50.296100000000003</v>
      </c>
      <c r="J834" s="21">
        <v>13800</v>
      </c>
      <c r="K834" s="21">
        <v>0.5</v>
      </c>
      <c r="L834" s="21">
        <v>0.05</v>
      </c>
      <c r="M834" s="21">
        <v>1413.1467</v>
      </c>
      <c r="N834" s="21">
        <v>703</v>
      </c>
      <c r="O834" s="21">
        <v>49.460900000000002</v>
      </c>
      <c r="R834" s="21">
        <v>13800</v>
      </c>
      <c r="S834" s="21">
        <v>0.5</v>
      </c>
      <c r="T834" s="21">
        <v>0.05</v>
      </c>
      <c r="U834" s="21">
        <v>1411.0610999999999</v>
      </c>
      <c r="V834" s="21">
        <v>703</v>
      </c>
      <c r="W834" s="21">
        <v>49.343400000000003</v>
      </c>
    </row>
    <row r="835" spans="2:23" x14ac:dyDescent="0.3">
      <c r="B835" s="21">
        <v>14000</v>
      </c>
      <c r="C835" s="21">
        <v>0.5</v>
      </c>
      <c r="D835" s="21">
        <v>0.05</v>
      </c>
      <c r="E835" s="21">
        <v>1427.5589</v>
      </c>
      <c r="F835" s="21">
        <v>703</v>
      </c>
      <c r="G835" s="21">
        <v>50.287999999999997</v>
      </c>
      <c r="J835" s="21">
        <v>14000</v>
      </c>
      <c r="K835" s="21">
        <v>0.5</v>
      </c>
      <c r="L835" s="21">
        <v>0.05</v>
      </c>
      <c r="M835" s="21">
        <v>1412.8967</v>
      </c>
      <c r="N835" s="21">
        <v>703</v>
      </c>
      <c r="O835" s="21">
        <v>49.446800000000003</v>
      </c>
      <c r="R835" s="21">
        <v>14000</v>
      </c>
      <c r="S835" s="21">
        <v>0.5</v>
      </c>
      <c r="T835" s="21">
        <v>0.05</v>
      </c>
      <c r="U835" s="21">
        <v>1410.8</v>
      </c>
      <c r="V835" s="21">
        <v>703</v>
      </c>
      <c r="W835" s="21">
        <v>49.328699999999998</v>
      </c>
    </row>
    <row r="836" spans="2:23" x14ac:dyDescent="0.3">
      <c r="B836" s="21">
        <v>14200</v>
      </c>
      <c r="C836" s="21">
        <v>0.5</v>
      </c>
      <c r="D836" s="21">
        <v>0.05</v>
      </c>
      <c r="E836" s="21">
        <v>1427.4489000000001</v>
      </c>
      <c r="F836" s="21">
        <v>703</v>
      </c>
      <c r="G836" s="21">
        <v>50.281599999999997</v>
      </c>
      <c r="J836" s="21">
        <v>14200</v>
      </c>
      <c r="K836" s="21">
        <v>0.5</v>
      </c>
      <c r="L836" s="21">
        <v>0.05</v>
      </c>
      <c r="M836" s="21">
        <v>1412.6754000000001</v>
      </c>
      <c r="N836" s="21">
        <v>703</v>
      </c>
      <c r="O836" s="21">
        <v>49.4343</v>
      </c>
      <c r="R836" s="21">
        <v>14200</v>
      </c>
      <c r="S836" s="21">
        <v>0.5</v>
      </c>
      <c r="T836" s="21">
        <v>0.05</v>
      </c>
      <c r="U836" s="21">
        <v>1410.5693000000001</v>
      </c>
      <c r="V836" s="21">
        <v>703</v>
      </c>
      <c r="W836" s="21">
        <v>49.3157</v>
      </c>
    </row>
    <row r="837" spans="2:23" x14ac:dyDescent="0.3">
      <c r="B837" s="21">
        <v>14400</v>
      </c>
      <c r="C837" s="21">
        <v>0.5</v>
      </c>
      <c r="D837" s="21">
        <v>0.05</v>
      </c>
      <c r="E837" s="21">
        <v>1427.3652999999999</v>
      </c>
      <c r="F837" s="21">
        <v>703</v>
      </c>
      <c r="G837" s="21">
        <v>50.276699999999998</v>
      </c>
      <c r="J837" s="21">
        <v>14400</v>
      </c>
      <c r="K837" s="21">
        <v>0.5</v>
      </c>
      <c r="L837" s="21">
        <v>0.05</v>
      </c>
      <c r="M837" s="21">
        <v>1412.4965</v>
      </c>
      <c r="N837" s="21">
        <v>703</v>
      </c>
      <c r="O837" s="21">
        <v>49.424199999999999</v>
      </c>
      <c r="R837" s="21">
        <v>14400</v>
      </c>
      <c r="S837" s="21">
        <v>0.5</v>
      </c>
      <c r="T837" s="21">
        <v>0.05</v>
      </c>
      <c r="U837" s="21">
        <v>1410.3724</v>
      </c>
      <c r="V837" s="21">
        <v>703</v>
      </c>
      <c r="W837" s="21">
        <v>49.304699999999997</v>
      </c>
    </row>
    <row r="838" spans="2:23" x14ac:dyDescent="0.3">
      <c r="B838" s="21">
        <v>14600</v>
      </c>
      <c r="C838" s="21">
        <v>0.5</v>
      </c>
      <c r="D838" s="21">
        <v>0.05</v>
      </c>
      <c r="E838" s="21">
        <v>1427.2819999999999</v>
      </c>
      <c r="F838" s="21">
        <v>703</v>
      </c>
      <c r="G838" s="21">
        <v>50.271900000000002</v>
      </c>
      <c r="J838" s="21">
        <v>14600</v>
      </c>
      <c r="K838" s="21">
        <v>0.5</v>
      </c>
      <c r="L838" s="21">
        <v>0.05</v>
      </c>
      <c r="M838" s="21">
        <v>1412.3420000000001</v>
      </c>
      <c r="N838" s="21">
        <v>703</v>
      </c>
      <c r="O838" s="21">
        <v>49.415500000000002</v>
      </c>
      <c r="R838" s="21">
        <v>14600</v>
      </c>
      <c r="S838" s="21">
        <v>0.5</v>
      </c>
      <c r="T838" s="21">
        <v>0.05</v>
      </c>
      <c r="U838" s="21">
        <v>1410.2046</v>
      </c>
      <c r="V838" s="21">
        <v>703</v>
      </c>
      <c r="W838" s="21">
        <v>49.295200000000001</v>
      </c>
    </row>
    <row r="839" spans="2:23" x14ac:dyDescent="0.3">
      <c r="B839" s="21">
        <v>14800</v>
      </c>
      <c r="C839" s="21">
        <v>0.5</v>
      </c>
      <c r="D839" s="21">
        <v>0.05</v>
      </c>
      <c r="E839" s="21">
        <v>1427.1991</v>
      </c>
      <c r="F839" s="21">
        <v>703</v>
      </c>
      <c r="G839" s="21">
        <v>50.267099999999999</v>
      </c>
      <c r="J839" s="21">
        <v>14800</v>
      </c>
      <c r="K839" s="21">
        <v>0.5</v>
      </c>
      <c r="L839" s="21">
        <v>0.05</v>
      </c>
      <c r="M839" s="21">
        <v>1412.2090000000001</v>
      </c>
      <c r="N839" s="21">
        <v>703</v>
      </c>
      <c r="O839" s="21">
        <v>49.408000000000001</v>
      </c>
      <c r="R839" s="21">
        <v>14800</v>
      </c>
      <c r="S839" s="21">
        <v>0.5</v>
      </c>
      <c r="T839" s="21">
        <v>0.05</v>
      </c>
      <c r="U839" s="21">
        <v>1410.0550000000001</v>
      </c>
      <c r="V839" s="21">
        <v>703</v>
      </c>
      <c r="W839" s="21">
        <v>49.286799999999999</v>
      </c>
    </row>
    <row r="840" spans="2:23" x14ac:dyDescent="0.3">
      <c r="B840" s="21">
        <v>15000</v>
      </c>
      <c r="C840" s="21">
        <v>0.5</v>
      </c>
      <c r="D840" s="21">
        <v>0.05</v>
      </c>
      <c r="E840" s="21">
        <v>1427.1445000000001</v>
      </c>
      <c r="F840" s="21">
        <v>703</v>
      </c>
      <c r="G840" s="21">
        <v>50.2639</v>
      </c>
      <c r="J840" s="21">
        <v>15000</v>
      </c>
      <c r="K840" s="21">
        <v>0.5</v>
      </c>
      <c r="L840" s="21">
        <v>0.05</v>
      </c>
      <c r="M840" s="21">
        <v>1412.0974000000001</v>
      </c>
      <c r="N840" s="21">
        <v>703</v>
      </c>
      <c r="O840" s="21">
        <v>49.401699999999998</v>
      </c>
      <c r="R840" s="21">
        <v>15000</v>
      </c>
      <c r="S840" s="21">
        <v>0.5</v>
      </c>
      <c r="T840" s="21">
        <v>0.05</v>
      </c>
      <c r="U840" s="21">
        <v>1409.9286</v>
      </c>
      <c r="V840" s="21">
        <v>703</v>
      </c>
      <c r="W840" s="21">
        <v>49.279699999999998</v>
      </c>
    </row>
    <row r="841" spans="2:23" x14ac:dyDescent="0.3">
      <c r="B841" s="21">
        <v>15200</v>
      </c>
      <c r="C841" s="21">
        <v>0.5</v>
      </c>
      <c r="D841" s="21">
        <v>0.05</v>
      </c>
      <c r="E841" s="21">
        <v>1427.09</v>
      </c>
      <c r="F841" s="21">
        <v>703</v>
      </c>
      <c r="G841" s="21">
        <v>50.2607</v>
      </c>
      <c r="J841" s="21">
        <v>15200</v>
      </c>
      <c r="K841" s="21">
        <v>0.5</v>
      </c>
      <c r="L841" s="21">
        <v>0.05</v>
      </c>
      <c r="M841" s="21">
        <v>1411.9893999999999</v>
      </c>
      <c r="N841" s="21">
        <v>703</v>
      </c>
      <c r="O841" s="21">
        <v>49.395600000000002</v>
      </c>
      <c r="R841" s="21">
        <v>15200</v>
      </c>
      <c r="S841" s="21">
        <v>0.5</v>
      </c>
      <c r="T841" s="21">
        <v>0.05</v>
      </c>
      <c r="U841" s="21">
        <v>1409.8221000000001</v>
      </c>
      <c r="V841" s="21">
        <v>703</v>
      </c>
      <c r="W841" s="21">
        <v>49.273800000000001</v>
      </c>
    </row>
    <row r="842" spans="2:23" x14ac:dyDescent="0.3">
      <c r="B842" s="21">
        <v>15400</v>
      </c>
      <c r="C842" s="21">
        <v>0.5</v>
      </c>
      <c r="D842" s="21">
        <v>0.05</v>
      </c>
      <c r="E842" s="21">
        <v>1427.0355999999999</v>
      </c>
      <c r="F842" s="21">
        <v>703</v>
      </c>
      <c r="G842" s="21">
        <v>50.2575</v>
      </c>
      <c r="J842" s="21">
        <v>15400</v>
      </c>
      <c r="K842" s="21">
        <v>0.5</v>
      </c>
      <c r="L842" s="21">
        <v>0.05</v>
      </c>
      <c r="M842" s="21">
        <v>1411.8997999999999</v>
      </c>
      <c r="N842" s="21">
        <v>703</v>
      </c>
      <c r="O842" s="21">
        <v>49.390599999999999</v>
      </c>
      <c r="R842" s="21">
        <v>15400</v>
      </c>
      <c r="S842" s="21">
        <v>0.5</v>
      </c>
      <c r="T842" s="21">
        <v>0.05</v>
      </c>
      <c r="U842" s="21">
        <v>1409.7258999999999</v>
      </c>
      <c r="V842" s="21">
        <v>703</v>
      </c>
      <c r="W842" s="21">
        <v>49.2684</v>
      </c>
    </row>
    <row r="843" spans="2:23" x14ac:dyDescent="0.3">
      <c r="B843" s="21">
        <v>15600</v>
      </c>
      <c r="C843" s="21">
        <v>0.5</v>
      </c>
      <c r="D843" s="21">
        <v>0.05</v>
      </c>
      <c r="E843" s="21">
        <v>1427.0073</v>
      </c>
      <c r="F843" s="21">
        <v>703</v>
      </c>
      <c r="G843" s="21">
        <v>50.255899999999997</v>
      </c>
      <c r="J843" s="21">
        <v>15600</v>
      </c>
      <c r="K843" s="21">
        <v>0.5</v>
      </c>
      <c r="L843" s="21">
        <v>0.05</v>
      </c>
      <c r="M843" s="21">
        <v>1411.8290999999999</v>
      </c>
      <c r="N843" s="21">
        <v>703</v>
      </c>
      <c r="O843" s="21">
        <v>49.386600000000001</v>
      </c>
      <c r="R843" s="21">
        <v>15600</v>
      </c>
      <c r="S843" s="21">
        <v>0.5</v>
      </c>
      <c r="T843" s="21">
        <v>0.05</v>
      </c>
      <c r="U843" s="21">
        <v>1409.6463000000001</v>
      </c>
      <c r="V843" s="21">
        <v>703</v>
      </c>
      <c r="W843" s="21">
        <v>49.2639</v>
      </c>
    </row>
    <row r="844" spans="2:23" x14ac:dyDescent="0.3">
      <c r="B844" s="21">
        <v>15800</v>
      </c>
      <c r="C844" s="21">
        <v>0.5</v>
      </c>
      <c r="D844" s="21">
        <v>0.05</v>
      </c>
      <c r="E844" s="21">
        <v>1426.9791</v>
      </c>
      <c r="F844" s="21">
        <v>703</v>
      </c>
      <c r="G844" s="21">
        <v>50.254199999999997</v>
      </c>
      <c r="J844" s="21">
        <v>15800</v>
      </c>
      <c r="K844" s="21">
        <v>0.5</v>
      </c>
      <c r="L844" s="21">
        <v>0.05</v>
      </c>
      <c r="M844" s="21">
        <v>1411.7599</v>
      </c>
      <c r="N844" s="21">
        <v>703</v>
      </c>
      <c r="O844" s="21">
        <v>49.3827</v>
      </c>
      <c r="R844" s="21">
        <v>15800</v>
      </c>
      <c r="S844" s="21">
        <v>0.5</v>
      </c>
      <c r="T844" s="21">
        <v>0.05</v>
      </c>
      <c r="U844" s="21">
        <v>1409.5736999999999</v>
      </c>
      <c r="V844" s="21">
        <v>703</v>
      </c>
      <c r="W844" s="21">
        <v>49.259799999999998</v>
      </c>
    </row>
    <row r="845" spans="2:23" x14ac:dyDescent="0.3">
      <c r="B845" s="21">
        <v>16000</v>
      </c>
      <c r="C845" s="21">
        <v>0.5</v>
      </c>
      <c r="D845" s="21">
        <v>0.05</v>
      </c>
      <c r="E845" s="21">
        <v>1426.9509</v>
      </c>
      <c r="F845" s="21">
        <v>703</v>
      </c>
      <c r="G845" s="21">
        <v>50.252600000000001</v>
      </c>
      <c r="J845" s="21">
        <v>16000</v>
      </c>
      <c r="K845" s="21">
        <v>0.5</v>
      </c>
      <c r="L845" s="21">
        <v>0.05</v>
      </c>
      <c r="M845" s="21">
        <v>1411.7075</v>
      </c>
      <c r="N845" s="21">
        <v>703</v>
      </c>
      <c r="O845" s="21">
        <v>49.3797</v>
      </c>
      <c r="R845" s="21">
        <v>16000</v>
      </c>
      <c r="S845" s="21">
        <v>0.5</v>
      </c>
      <c r="T845" s="21">
        <v>0.05</v>
      </c>
      <c r="U845" s="21">
        <v>1409.5142000000001</v>
      </c>
      <c r="V845" s="21">
        <v>703</v>
      </c>
      <c r="W845" s="21">
        <v>49.256500000000003</v>
      </c>
    </row>
    <row r="846" spans="2:23" x14ac:dyDescent="0.3">
      <c r="B846" s="21">
        <v>16200</v>
      </c>
      <c r="C846" s="21">
        <v>0.5</v>
      </c>
      <c r="D846" s="21">
        <v>0.05</v>
      </c>
      <c r="E846" s="21">
        <v>1426.9227000000001</v>
      </c>
      <c r="F846" s="21">
        <v>703</v>
      </c>
      <c r="G846" s="21">
        <v>50.250999999999998</v>
      </c>
      <c r="J846" s="21">
        <v>16200</v>
      </c>
      <c r="K846" s="21">
        <v>0.5</v>
      </c>
      <c r="L846" s="21">
        <v>0.05</v>
      </c>
      <c r="M846" s="21">
        <v>1411.6559</v>
      </c>
      <c r="N846" s="21">
        <v>703</v>
      </c>
      <c r="O846" s="21">
        <v>49.376800000000003</v>
      </c>
      <c r="R846" s="21">
        <v>16200</v>
      </c>
      <c r="S846" s="21">
        <v>0.5</v>
      </c>
      <c r="T846" s="21">
        <v>0.05</v>
      </c>
      <c r="U846" s="21">
        <v>1409.4594999999999</v>
      </c>
      <c r="V846" s="21">
        <v>703</v>
      </c>
      <c r="W846" s="21">
        <v>49.253399999999999</v>
      </c>
    </row>
    <row r="847" spans="2:23" x14ac:dyDescent="0.3">
      <c r="B847" s="21">
        <v>16400</v>
      </c>
      <c r="C847" s="21">
        <v>0.5</v>
      </c>
      <c r="D847" s="21">
        <v>0.05</v>
      </c>
      <c r="E847" s="21">
        <v>1426.8946000000001</v>
      </c>
      <c r="F847" s="21">
        <v>703</v>
      </c>
      <c r="G847" s="21">
        <v>50.249299999999998</v>
      </c>
      <c r="J847" s="21">
        <v>16400</v>
      </c>
      <c r="K847" s="21">
        <v>0.5</v>
      </c>
      <c r="L847" s="21">
        <v>0.05</v>
      </c>
      <c r="M847" s="21">
        <v>1411.6219000000001</v>
      </c>
      <c r="N847" s="21">
        <v>703</v>
      </c>
      <c r="O847" s="21">
        <v>49.374899999999997</v>
      </c>
      <c r="R847" s="21">
        <v>16400</v>
      </c>
      <c r="S847" s="21">
        <v>0.5</v>
      </c>
      <c r="T847" s="21">
        <v>0.05</v>
      </c>
      <c r="U847" s="21">
        <v>1409.4163000000001</v>
      </c>
      <c r="V847" s="21">
        <v>703</v>
      </c>
      <c r="W847" s="21">
        <v>49.250999999999998</v>
      </c>
    </row>
    <row r="848" spans="2:23" x14ac:dyDescent="0.3">
      <c r="B848" s="21">
        <v>16600</v>
      </c>
      <c r="C848" s="21">
        <v>0.5</v>
      </c>
      <c r="D848" s="21">
        <v>0.05</v>
      </c>
      <c r="E848" s="21">
        <v>1426.8934999999999</v>
      </c>
      <c r="F848" s="21">
        <v>703</v>
      </c>
      <c r="G848" s="21">
        <v>50.249299999999998</v>
      </c>
      <c r="J848" s="21">
        <v>16600</v>
      </c>
      <c r="K848" s="21">
        <v>0.5</v>
      </c>
      <c r="L848" s="21">
        <v>0.05</v>
      </c>
      <c r="M848" s="21">
        <v>1411.5881999999999</v>
      </c>
      <c r="N848" s="21">
        <v>703</v>
      </c>
      <c r="O848" s="21">
        <v>49.372999999999998</v>
      </c>
      <c r="R848" s="21">
        <v>16600</v>
      </c>
      <c r="S848" s="21">
        <v>0.5</v>
      </c>
      <c r="T848" s="21">
        <v>0.05</v>
      </c>
      <c r="U848" s="21">
        <v>1409.3761</v>
      </c>
      <c r="V848" s="21">
        <v>703</v>
      </c>
      <c r="W848" s="21">
        <v>49.248800000000003</v>
      </c>
    </row>
    <row r="849" spans="2:23" x14ac:dyDescent="0.3">
      <c r="B849" s="21">
        <v>16800</v>
      </c>
      <c r="C849" s="21">
        <v>0.5</v>
      </c>
      <c r="D849" s="21">
        <v>0.05</v>
      </c>
      <c r="E849" s="21">
        <v>1426.8924999999999</v>
      </c>
      <c r="F849" s="21">
        <v>703</v>
      </c>
      <c r="G849" s="21">
        <v>50.249200000000002</v>
      </c>
      <c r="J849" s="21">
        <v>16800</v>
      </c>
      <c r="K849" s="21">
        <v>0.5</v>
      </c>
      <c r="L849" s="21">
        <v>0.05</v>
      </c>
      <c r="M849" s="21">
        <v>1411.5549000000001</v>
      </c>
      <c r="N849" s="21">
        <v>703</v>
      </c>
      <c r="O849" s="21">
        <v>49.371099999999998</v>
      </c>
      <c r="R849" s="21">
        <v>16800</v>
      </c>
      <c r="S849" s="21">
        <v>0.5</v>
      </c>
      <c r="T849" s="21">
        <v>0.05</v>
      </c>
      <c r="U849" s="21">
        <v>1409.3453999999999</v>
      </c>
      <c r="V849" s="21">
        <v>703</v>
      </c>
      <c r="W849" s="21">
        <v>49.247</v>
      </c>
    </row>
    <row r="850" spans="2:23" x14ac:dyDescent="0.3">
      <c r="B850" s="21">
        <v>17000</v>
      </c>
      <c r="C850" s="21">
        <v>0.5</v>
      </c>
      <c r="D850" s="21">
        <v>0.05</v>
      </c>
      <c r="E850" s="21">
        <v>1426.8914</v>
      </c>
      <c r="F850" s="21">
        <v>703</v>
      </c>
      <c r="G850" s="21">
        <v>50.249099999999999</v>
      </c>
      <c r="J850" s="21">
        <v>17000</v>
      </c>
      <c r="K850" s="21">
        <v>0.5</v>
      </c>
      <c r="L850" s="21">
        <v>0.05</v>
      </c>
      <c r="M850" s="21">
        <v>1411.5219999999999</v>
      </c>
      <c r="N850" s="21">
        <v>703</v>
      </c>
      <c r="O850" s="21">
        <v>49.369300000000003</v>
      </c>
      <c r="R850" s="21">
        <v>17000</v>
      </c>
      <c r="S850" s="21">
        <v>0.5</v>
      </c>
      <c r="T850" s="21">
        <v>0.05</v>
      </c>
      <c r="U850" s="21">
        <v>1409.3164999999999</v>
      </c>
      <c r="V850" s="21">
        <v>703</v>
      </c>
      <c r="W850" s="21">
        <v>49.245399999999997</v>
      </c>
    </row>
    <row r="851" spans="2:23" x14ac:dyDescent="0.3">
      <c r="B851" s="21">
        <v>17200</v>
      </c>
      <c r="C851" s="21">
        <v>0.5</v>
      </c>
      <c r="D851" s="21">
        <v>0.05</v>
      </c>
      <c r="E851" s="21">
        <v>1426.8904</v>
      </c>
      <c r="F851" s="21">
        <v>703</v>
      </c>
      <c r="G851" s="21">
        <v>50.249099999999999</v>
      </c>
      <c r="J851" s="21">
        <v>17200</v>
      </c>
      <c r="K851" s="21">
        <v>0.5</v>
      </c>
      <c r="L851" s="21">
        <v>0.05</v>
      </c>
      <c r="M851" s="21">
        <v>1411.5047</v>
      </c>
      <c r="N851" s="21">
        <v>703</v>
      </c>
      <c r="O851" s="21">
        <v>49.368299999999998</v>
      </c>
      <c r="R851" s="21">
        <v>17200</v>
      </c>
      <c r="S851" s="21">
        <v>0.5</v>
      </c>
      <c r="T851" s="21">
        <v>0.05</v>
      </c>
      <c r="U851" s="21">
        <v>1409.2967000000001</v>
      </c>
      <c r="V851" s="21">
        <v>703</v>
      </c>
      <c r="W851" s="21">
        <v>49.244300000000003</v>
      </c>
    </row>
    <row r="852" spans="2:23" x14ac:dyDescent="0.3">
      <c r="B852" s="21">
        <v>17400</v>
      </c>
      <c r="C852" s="21">
        <v>0.5</v>
      </c>
      <c r="D852" s="21">
        <v>0.05</v>
      </c>
      <c r="E852" s="21">
        <v>1426.8893</v>
      </c>
      <c r="F852" s="21">
        <v>703</v>
      </c>
      <c r="G852" s="21">
        <v>50.249000000000002</v>
      </c>
      <c r="J852" s="21">
        <v>17400</v>
      </c>
      <c r="K852" s="21">
        <v>0.5</v>
      </c>
      <c r="L852" s="21">
        <v>0.05</v>
      </c>
      <c r="M852" s="21">
        <v>1411.4875999999999</v>
      </c>
      <c r="N852" s="21">
        <v>703</v>
      </c>
      <c r="O852" s="21">
        <v>49.367400000000004</v>
      </c>
      <c r="R852" s="21">
        <v>17400</v>
      </c>
      <c r="S852" s="21">
        <v>0.5</v>
      </c>
      <c r="T852" s="21">
        <v>0.05</v>
      </c>
      <c r="U852" s="21">
        <v>1409.278</v>
      </c>
      <c r="V852" s="21">
        <v>703</v>
      </c>
      <c r="W852" s="21">
        <v>49.243299999999998</v>
      </c>
    </row>
    <row r="853" spans="2:23" x14ac:dyDescent="0.3">
      <c r="B853" s="21">
        <v>17600</v>
      </c>
      <c r="C853" s="21">
        <v>0.5</v>
      </c>
      <c r="D853" s="21">
        <v>0.05</v>
      </c>
      <c r="E853" s="21">
        <v>1426.8883000000001</v>
      </c>
      <c r="F853" s="21">
        <v>703</v>
      </c>
      <c r="G853" s="21">
        <v>50.249000000000002</v>
      </c>
      <c r="J853" s="21">
        <v>17600</v>
      </c>
      <c r="K853" s="21">
        <v>0.5</v>
      </c>
      <c r="L853" s="21">
        <v>0.05</v>
      </c>
      <c r="M853" s="21">
        <v>1411.4704999999999</v>
      </c>
      <c r="N853" s="21">
        <v>703</v>
      </c>
      <c r="O853" s="21">
        <v>49.366399999999999</v>
      </c>
      <c r="R853" s="21">
        <v>17600</v>
      </c>
      <c r="S853" s="21">
        <v>0.5</v>
      </c>
      <c r="T853" s="21">
        <v>0.05</v>
      </c>
      <c r="U853" s="21">
        <v>1409.2601</v>
      </c>
      <c r="V853" s="21">
        <v>703</v>
      </c>
      <c r="W853" s="21">
        <v>49.2423</v>
      </c>
    </row>
    <row r="854" spans="2:23" x14ac:dyDescent="0.3">
      <c r="B854" s="21">
        <v>17800</v>
      </c>
      <c r="C854" s="21">
        <v>0.5</v>
      </c>
      <c r="D854" s="21">
        <v>0.05</v>
      </c>
      <c r="E854" s="21">
        <v>1426.8871999999999</v>
      </c>
      <c r="F854" s="21">
        <v>703</v>
      </c>
      <c r="G854" s="21">
        <v>50.248899999999999</v>
      </c>
      <c r="J854" s="21">
        <v>17800</v>
      </c>
      <c r="K854" s="21">
        <v>0.5</v>
      </c>
      <c r="L854" s="21">
        <v>0.05</v>
      </c>
      <c r="M854" s="21">
        <v>1411.4536000000001</v>
      </c>
      <c r="N854" s="21">
        <v>703</v>
      </c>
      <c r="O854" s="21">
        <v>49.365400000000001</v>
      </c>
      <c r="R854" s="21">
        <v>17800</v>
      </c>
      <c r="S854" s="21">
        <v>0.5</v>
      </c>
      <c r="T854" s="21">
        <v>0.05</v>
      </c>
      <c r="U854" s="21">
        <v>1409.2429</v>
      </c>
      <c r="V854" s="21">
        <v>703</v>
      </c>
      <c r="W854" s="21">
        <v>49.241300000000003</v>
      </c>
    </row>
    <row r="855" spans="2:23" x14ac:dyDescent="0.3">
      <c r="B855" s="21">
        <v>18000</v>
      </c>
      <c r="C855" s="21">
        <v>0.5</v>
      </c>
      <c r="D855" s="21">
        <v>0.05</v>
      </c>
      <c r="E855" s="21">
        <v>1426.8861999999999</v>
      </c>
      <c r="F855" s="21">
        <v>703</v>
      </c>
      <c r="G855" s="21">
        <v>50.248800000000003</v>
      </c>
      <c r="J855" s="21">
        <v>18000</v>
      </c>
      <c r="K855" s="21">
        <v>0.5</v>
      </c>
      <c r="L855" s="21">
        <v>0.05</v>
      </c>
      <c r="M855" s="21">
        <v>1411.4367999999999</v>
      </c>
      <c r="N855" s="21">
        <v>703</v>
      </c>
      <c r="O855" s="21">
        <v>49.3645</v>
      </c>
      <c r="R855" s="21">
        <v>18000</v>
      </c>
      <c r="S855" s="21">
        <v>0.5</v>
      </c>
      <c r="T855" s="21">
        <v>0.05</v>
      </c>
      <c r="U855" s="21">
        <v>1409.2335</v>
      </c>
      <c r="V855" s="21">
        <v>703</v>
      </c>
      <c r="W855" s="21">
        <v>49.2408</v>
      </c>
    </row>
    <row r="856" spans="2:23" x14ac:dyDescent="0.3">
      <c r="B856" s="21">
        <v>18200</v>
      </c>
      <c r="C856" s="21">
        <v>0.5</v>
      </c>
      <c r="D856" s="21">
        <v>0.05</v>
      </c>
      <c r="E856" s="21">
        <v>1426.8851</v>
      </c>
      <c r="F856" s="21">
        <v>703</v>
      </c>
      <c r="G856" s="21">
        <v>50.248800000000003</v>
      </c>
      <c r="J856" s="21">
        <v>18200</v>
      </c>
      <c r="K856" s="21">
        <v>0.5</v>
      </c>
      <c r="L856" s="21">
        <v>0.05</v>
      </c>
      <c r="M856" s="21">
        <v>1411.4201</v>
      </c>
      <c r="N856" s="21">
        <v>703</v>
      </c>
      <c r="O856" s="21">
        <v>49.363599999999998</v>
      </c>
      <c r="R856" s="21">
        <v>18200</v>
      </c>
      <c r="S856" s="21">
        <v>0.5</v>
      </c>
      <c r="T856" s="21">
        <v>0.05</v>
      </c>
      <c r="U856" s="21">
        <v>1409.2244000000001</v>
      </c>
      <c r="V856" s="21">
        <v>703</v>
      </c>
      <c r="W856" s="21">
        <v>49.240299999999998</v>
      </c>
    </row>
    <row r="857" spans="2:23" x14ac:dyDescent="0.3">
      <c r="B857" s="21">
        <v>18400</v>
      </c>
      <c r="C857" s="21">
        <v>0.5</v>
      </c>
      <c r="D857" s="21">
        <v>0.05</v>
      </c>
      <c r="E857" s="21">
        <v>1426.8841</v>
      </c>
      <c r="F857" s="21">
        <v>703</v>
      </c>
      <c r="G857" s="21">
        <v>50.248699999999999</v>
      </c>
      <c r="J857" s="21">
        <v>18400</v>
      </c>
      <c r="K857" s="21">
        <v>0.5</v>
      </c>
      <c r="L857" s="21">
        <v>0.05</v>
      </c>
      <c r="M857" s="21">
        <v>1411.4194</v>
      </c>
      <c r="N857" s="21">
        <v>703</v>
      </c>
      <c r="O857" s="21">
        <v>49.363500000000002</v>
      </c>
      <c r="R857" s="21">
        <v>18400</v>
      </c>
      <c r="S857" s="21">
        <v>0.5</v>
      </c>
      <c r="T857" s="21">
        <v>0.05</v>
      </c>
      <c r="U857" s="21">
        <v>1409.2156</v>
      </c>
      <c r="V857" s="21">
        <v>703</v>
      </c>
      <c r="W857" s="21">
        <v>49.239800000000002</v>
      </c>
    </row>
    <row r="858" spans="2:23" x14ac:dyDescent="0.3">
      <c r="K858" s="2"/>
      <c r="L858" s="2"/>
      <c r="M858" s="2"/>
      <c r="N858" s="2"/>
      <c r="O858" s="2"/>
      <c r="S858" s="2"/>
      <c r="T858" s="2"/>
      <c r="U858" s="2"/>
      <c r="V858" s="2"/>
      <c r="W858" s="2"/>
    </row>
    <row r="859" spans="2:23" x14ac:dyDescent="0.3">
      <c r="K859" s="2"/>
      <c r="L859" s="2"/>
      <c r="M859" s="2"/>
      <c r="N859" s="2"/>
      <c r="O859" s="2"/>
      <c r="S859" s="2"/>
      <c r="T859" s="2"/>
      <c r="U859" s="2"/>
      <c r="V859" s="2"/>
      <c r="W859" s="2"/>
    </row>
    <row r="860" spans="2:23" x14ac:dyDescent="0.3">
      <c r="K860" s="2"/>
      <c r="L860" s="2"/>
      <c r="M860" s="2"/>
      <c r="N860" s="2"/>
      <c r="O860" s="2"/>
      <c r="S860" s="2"/>
      <c r="T860" s="2"/>
      <c r="U860" s="2"/>
      <c r="V860" s="2"/>
      <c r="W860" s="2"/>
    </row>
    <row r="861" spans="2:23" ht="16.2" thickBot="1" x14ac:dyDescent="0.35">
      <c r="B861" s="1" t="s">
        <v>19</v>
      </c>
      <c r="C861" s="42" t="s">
        <v>20</v>
      </c>
      <c r="D861" s="42"/>
      <c r="E861" s="42"/>
      <c r="J861" s="1" t="s">
        <v>19</v>
      </c>
      <c r="K861" s="42" t="s">
        <v>21</v>
      </c>
      <c r="L861" s="42"/>
      <c r="M861" s="42"/>
      <c r="N861" s="2"/>
      <c r="O861" s="2"/>
      <c r="R861" s="1" t="s">
        <v>19</v>
      </c>
      <c r="S861" s="42" t="s">
        <v>22</v>
      </c>
      <c r="T861" s="42"/>
      <c r="U861" s="42"/>
      <c r="V861" s="2"/>
      <c r="W861" s="2"/>
    </row>
    <row r="862" spans="2:23" x14ac:dyDescent="0.3">
      <c r="B862" s="3"/>
      <c r="C862" s="31" t="s">
        <v>6</v>
      </c>
      <c r="D862" s="30" t="s">
        <v>7</v>
      </c>
      <c r="E862" s="28"/>
      <c r="J862" s="3"/>
      <c r="K862" s="31" t="s">
        <v>6</v>
      </c>
      <c r="L862" s="30" t="s">
        <v>7</v>
      </c>
      <c r="M862" s="28"/>
      <c r="N862" s="2"/>
      <c r="O862" s="2"/>
      <c r="R862" s="3"/>
      <c r="S862" s="31" t="s">
        <v>6</v>
      </c>
      <c r="T862" s="30" t="s">
        <v>7</v>
      </c>
      <c r="U862" s="28"/>
      <c r="V862" s="2"/>
      <c r="W862" s="2"/>
    </row>
    <row r="863" spans="2:23" ht="16.2" thickBot="1" x14ac:dyDescent="0.35">
      <c r="B863" s="25" t="s">
        <v>13</v>
      </c>
      <c r="C863" s="33">
        <v>241</v>
      </c>
      <c r="D863" s="34">
        <v>241</v>
      </c>
      <c r="E863" s="29"/>
      <c r="J863" s="25" t="s">
        <v>13</v>
      </c>
      <c r="K863" s="33">
        <v>121</v>
      </c>
      <c r="L863" s="34">
        <v>121</v>
      </c>
      <c r="M863" s="29"/>
      <c r="N863" s="2"/>
      <c r="O863" s="2"/>
      <c r="R863" s="25" t="s">
        <v>13</v>
      </c>
      <c r="S863" s="33">
        <v>61</v>
      </c>
      <c r="T863" s="34">
        <v>61</v>
      </c>
      <c r="U863" s="29"/>
      <c r="V863" s="2"/>
      <c r="W863" s="2"/>
    </row>
    <row r="864" spans="2:23" x14ac:dyDescent="0.3">
      <c r="B864" s="26" t="s">
        <v>14</v>
      </c>
      <c r="C864" s="35">
        <v>200</v>
      </c>
      <c r="D864" s="32"/>
      <c r="E864" s="29"/>
      <c r="J864" s="26" t="s">
        <v>14</v>
      </c>
      <c r="K864" s="35">
        <v>200</v>
      </c>
      <c r="L864" s="32"/>
      <c r="M864" s="29"/>
      <c r="N864" s="2"/>
      <c r="O864" s="2"/>
      <c r="R864" s="26" t="s">
        <v>14</v>
      </c>
      <c r="S864" s="35">
        <v>200</v>
      </c>
      <c r="T864" s="32"/>
      <c r="U864" s="29"/>
      <c r="V864" s="2"/>
      <c r="W864" s="2"/>
    </row>
    <row r="865" spans="2:23" ht="16.2" thickBot="1" x14ac:dyDescent="0.35">
      <c r="B865" s="26" t="s">
        <v>15</v>
      </c>
      <c r="C865" s="21" t="s">
        <v>12</v>
      </c>
      <c r="D865" s="32"/>
      <c r="E865" s="29"/>
      <c r="J865" s="26" t="s">
        <v>15</v>
      </c>
      <c r="K865" s="21" t="s">
        <v>12</v>
      </c>
      <c r="L865" s="32"/>
      <c r="M865" s="29"/>
      <c r="N865" s="2"/>
      <c r="O865" s="2"/>
      <c r="R865" s="26" t="s">
        <v>15</v>
      </c>
      <c r="S865" s="21" t="s">
        <v>12</v>
      </c>
      <c r="T865" s="32"/>
      <c r="U865" s="29"/>
      <c r="V865" s="2"/>
      <c r="W865" s="2"/>
    </row>
    <row r="866" spans="2:23" x14ac:dyDescent="0.3">
      <c r="B866" s="26" t="s">
        <v>16</v>
      </c>
      <c r="C866" s="36">
        <v>1E-3</v>
      </c>
      <c r="D866" s="31" t="s">
        <v>6</v>
      </c>
      <c r="E866" s="30" t="s">
        <v>7</v>
      </c>
      <c r="J866" s="26" t="s">
        <v>16</v>
      </c>
      <c r="K866" s="36">
        <v>1E-3</v>
      </c>
      <c r="L866" s="31" t="s">
        <v>6</v>
      </c>
      <c r="M866" s="30" t="s">
        <v>7</v>
      </c>
      <c r="N866" s="2"/>
      <c r="O866" s="2"/>
      <c r="R866" s="26" t="s">
        <v>16</v>
      </c>
      <c r="S866" s="36">
        <v>1E-3</v>
      </c>
      <c r="T866" s="31" t="s">
        <v>6</v>
      </c>
      <c r="U866" s="30" t="s">
        <v>7</v>
      </c>
      <c r="V866" s="2"/>
      <c r="W866" s="2"/>
    </row>
    <row r="867" spans="2:23" ht="16.2" thickBot="1" x14ac:dyDescent="0.35">
      <c r="B867" s="27" t="s">
        <v>18</v>
      </c>
      <c r="C867" s="37">
        <v>9</v>
      </c>
      <c r="D867" s="23">
        <f>VLOOKUP(C867,$J$4:$L$12,2,FALSE)</f>
        <v>0.75</v>
      </c>
      <c r="E867" s="24">
        <f>VLOOKUP(C867,$J$4:$L$12,3,FALSE)</f>
        <v>0.05</v>
      </c>
      <c r="J867" s="27" t="s">
        <v>18</v>
      </c>
      <c r="K867" s="37">
        <v>9</v>
      </c>
      <c r="L867" s="23">
        <f>VLOOKUP(K867,$J$4:$L$12,2,FALSE)</f>
        <v>0.75</v>
      </c>
      <c r="M867" s="24">
        <f>VLOOKUP(K867,$J$4:$L$12,3,FALSE)</f>
        <v>0.05</v>
      </c>
      <c r="N867" s="2"/>
      <c r="O867" s="2"/>
      <c r="R867" s="27" t="s">
        <v>18</v>
      </c>
      <c r="S867" s="37">
        <v>9</v>
      </c>
      <c r="T867" s="23">
        <f>VLOOKUP(S867,$J$4:$L$12,2,FALSE)</f>
        <v>0.75</v>
      </c>
      <c r="U867" s="24">
        <f>VLOOKUP(S867,$J$4:$L$12,3,FALSE)</f>
        <v>0.05</v>
      </c>
      <c r="V867" s="2"/>
      <c r="W867" s="2"/>
    </row>
    <row r="868" spans="2:23" x14ac:dyDescent="0.3">
      <c r="K868" s="2"/>
      <c r="L868" s="2"/>
      <c r="M868" s="2"/>
      <c r="N868" s="2"/>
      <c r="O868" s="2"/>
      <c r="S868" s="2"/>
      <c r="T868" s="2"/>
      <c r="U868" s="2"/>
      <c r="V868" s="2"/>
      <c r="W868" s="2"/>
    </row>
    <row r="869" spans="2:23" x14ac:dyDescent="0.3">
      <c r="B869" s="38" t="s">
        <v>0</v>
      </c>
      <c r="C869" s="39" t="s">
        <v>1</v>
      </c>
      <c r="D869" s="39" t="s">
        <v>2</v>
      </c>
      <c r="E869" s="39" t="s">
        <v>3</v>
      </c>
      <c r="F869" s="39" t="s">
        <v>4</v>
      </c>
      <c r="G869" s="39" t="s">
        <v>5</v>
      </c>
      <c r="J869" s="38" t="s">
        <v>0</v>
      </c>
      <c r="K869" s="39" t="s">
        <v>1</v>
      </c>
      <c r="L869" s="39" t="s">
        <v>2</v>
      </c>
      <c r="M869" s="39" t="s">
        <v>3</v>
      </c>
      <c r="N869" s="39" t="s">
        <v>4</v>
      </c>
      <c r="O869" s="39" t="s">
        <v>5</v>
      </c>
      <c r="R869" s="38" t="s">
        <v>0</v>
      </c>
      <c r="S869" s="39" t="s">
        <v>1</v>
      </c>
      <c r="T869" s="39" t="s">
        <v>2</v>
      </c>
      <c r="U869" s="39" t="s">
        <v>3</v>
      </c>
      <c r="V869" s="39" t="s">
        <v>4</v>
      </c>
      <c r="W869" s="39" t="s">
        <v>5</v>
      </c>
    </row>
    <row r="870" spans="2:23" x14ac:dyDescent="0.3">
      <c r="B870" s="21">
        <v>0</v>
      </c>
      <c r="C870" s="21">
        <v>0.75</v>
      </c>
      <c r="D870" s="21">
        <v>0.05</v>
      </c>
      <c r="E870" s="21">
        <v>300</v>
      </c>
      <c r="F870" s="21">
        <v>478.57299999999998</v>
      </c>
      <c r="G870" s="21">
        <v>62.213700000000003</v>
      </c>
      <c r="J870" s="21">
        <v>0</v>
      </c>
      <c r="K870" s="21">
        <v>0.75</v>
      </c>
      <c r="L870" s="21">
        <v>0.05</v>
      </c>
      <c r="M870" s="21">
        <v>300</v>
      </c>
      <c r="N870" s="21">
        <v>478.57299999999998</v>
      </c>
      <c r="O870" s="21">
        <v>62.213700000000003</v>
      </c>
      <c r="R870" s="21">
        <v>0</v>
      </c>
      <c r="S870" s="21">
        <v>0.75</v>
      </c>
      <c r="T870" s="21">
        <v>0.05</v>
      </c>
      <c r="U870" s="21">
        <v>300</v>
      </c>
      <c r="V870" s="21">
        <v>478.57299999999998</v>
      </c>
      <c r="W870" s="21">
        <v>62.213700000000003</v>
      </c>
    </row>
    <row r="871" spans="2:23" x14ac:dyDescent="0.3">
      <c r="B871" s="21">
        <v>200</v>
      </c>
      <c r="C871" s="21">
        <v>0.75</v>
      </c>
      <c r="D871" s="21">
        <v>0.05</v>
      </c>
      <c r="E871" s="21">
        <v>350.31020000000001</v>
      </c>
      <c r="F871" s="21">
        <v>456.71300000000002</v>
      </c>
      <c r="G871" s="21">
        <v>60.264099999999999</v>
      </c>
      <c r="J871" s="21">
        <v>200</v>
      </c>
      <c r="K871" s="21">
        <v>0.75</v>
      </c>
      <c r="L871" s="21">
        <v>0.05</v>
      </c>
      <c r="M871" s="21">
        <v>353.56799999999998</v>
      </c>
      <c r="N871" s="21">
        <v>456.53070000000002</v>
      </c>
      <c r="O871" s="21">
        <v>60.130200000000002</v>
      </c>
      <c r="R871" s="21">
        <v>200</v>
      </c>
      <c r="S871" s="21">
        <v>0.75</v>
      </c>
      <c r="T871" s="21">
        <v>0.05</v>
      </c>
      <c r="U871" s="21">
        <v>353.99419999999998</v>
      </c>
      <c r="V871" s="21">
        <v>456.51620000000003</v>
      </c>
      <c r="W871" s="21">
        <v>60.1126</v>
      </c>
    </row>
    <row r="872" spans="2:23" x14ac:dyDescent="0.3">
      <c r="B872" s="21">
        <v>400</v>
      </c>
      <c r="C872" s="21">
        <v>0.75</v>
      </c>
      <c r="D872" s="21">
        <v>0.05</v>
      </c>
      <c r="E872" s="21">
        <v>409.3254</v>
      </c>
      <c r="F872" s="21">
        <v>469.69929999999999</v>
      </c>
      <c r="G872" s="21">
        <v>57.729599999999998</v>
      </c>
      <c r="J872" s="21">
        <v>400</v>
      </c>
      <c r="K872" s="21">
        <v>0.75</v>
      </c>
      <c r="L872" s="21">
        <v>0.05</v>
      </c>
      <c r="M872" s="21">
        <v>415.2801</v>
      </c>
      <c r="N872" s="21">
        <v>472.5163</v>
      </c>
      <c r="O872" s="21">
        <v>57.463200000000001</v>
      </c>
      <c r="R872" s="21">
        <v>400</v>
      </c>
      <c r="S872" s="21">
        <v>0.75</v>
      </c>
      <c r="T872" s="21">
        <v>0.05</v>
      </c>
      <c r="U872" s="21">
        <v>416.05130000000003</v>
      </c>
      <c r="V872" s="21">
        <v>472.89580000000001</v>
      </c>
      <c r="W872" s="21">
        <v>57.428600000000003</v>
      </c>
    </row>
    <row r="873" spans="2:23" x14ac:dyDescent="0.3">
      <c r="B873" s="21">
        <v>600</v>
      </c>
      <c r="C873" s="21">
        <v>0.75</v>
      </c>
      <c r="D873" s="21">
        <v>0.05</v>
      </c>
      <c r="E873" s="21">
        <v>466.6694</v>
      </c>
      <c r="F873" s="21">
        <v>503.19349999999997</v>
      </c>
      <c r="G873" s="21">
        <v>55.113900000000001</v>
      </c>
      <c r="J873" s="21">
        <v>600</v>
      </c>
      <c r="K873" s="21">
        <v>0.75</v>
      </c>
      <c r="L873" s="21">
        <v>0.05</v>
      </c>
      <c r="M873" s="21">
        <v>474.721</v>
      </c>
      <c r="N873" s="21">
        <v>508.64370000000002</v>
      </c>
      <c r="O873" s="21">
        <v>54.740299999999998</v>
      </c>
      <c r="R873" s="21">
        <v>600</v>
      </c>
      <c r="S873" s="21">
        <v>0.75</v>
      </c>
      <c r="T873" s="21">
        <v>0.05</v>
      </c>
      <c r="U873" s="21">
        <v>475.75150000000002</v>
      </c>
      <c r="V873" s="21">
        <v>509.3476</v>
      </c>
      <c r="W873" s="21">
        <v>54.692399999999999</v>
      </c>
    </row>
    <row r="874" spans="2:23" x14ac:dyDescent="0.3">
      <c r="B874" s="21">
        <v>800</v>
      </c>
      <c r="C874" s="21">
        <v>0.75</v>
      </c>
      <c r="D874" s="21">
        <v>0.05</v>
      </c>
      <c r="E874" s="21">
        <v>520.33349999999996</v>
      </c>
      <c r="F874" s="21">
        <v>540.16269999999997</v>
      </c>
      <c r="G874" s="21">
        <v>52.616399999999999</v>
      </c>
      <c r="J874" s="21">
        <v>800</v>
      </c>
      <c r="K874" s="21">
        <v>0.75</v>
      </c>
      <c r="L874" s="21">
        <v>0.05</v>
      </c>
      <c r="M874" s="21">
        <v>530.19759999999997</v>
      </c>
      <c r="N874" s="21">
        <v>546.84259999999995</v>
      </c>
      <c r="O874" s="21">
        <v>52.158200000000001</v>
      </c>
      <c r="R874" s="21">
        <v>800</v>
      </c>
      <c r="S874" s="21">
        <v>0.75</v>
      </c>
      <c r="T874" s="21">
        <v>0.05</v>
      </c>
      <c r="U874" s="21">
        <v>531.44320000000005</v>
      </c>
      <c r="V874" s="21">
        <v>547.67729999999995</v>
      </c>
      <c r="W874" s="21">
        <v>52.100499999999997</v>
      </c>
    </row>
    <row r="875" spans="2:23" x14ac:dyDescent="0.3">
      <c r="B875" s="21">
        <v>1000</v>
      </c>
      <c r="C875" s="21">
        <v>0.75</v>
      </c>
      <c r="D875" s="21">
        <v>0.05</v>
      </c>
      <c r="E875" s="21">
        <v>570.62189999999998</v>
      </c>
      <c r="F875" s="21">
        <v>572.53639999999996</v>
      </c>
      <c r="G875" s="21">
        <v>50.299199999999999</v>
      </c>
      <c r="J875" s="21">
        <v>1000</v>
      </c>
      <c r="K875" s="21">
        <v>0.75</v>
      </c>
      <c r="L875" s="21">
        <v>0.05</v>
      </c>
      <c r="M875" s="21">
        <v>582.22580000000005</v>
      </c>
      <c r="N875" s="21">
        <v>579.26570000000004</v>
      </c>
      <c r="O875" s="21">
        <v>49.773899999999998</v>
      </c>
      <c r="R875" s="21">
        <v>1000</v>
      </c>
      <c r="S875" s="21">
        <v>0.75</v>
      </c>
      <c r="T875" s="21">
        <v>0.05</v>
      </c>
      <c r="U875" s="21">
        <v>583.678</v>
      </c>
      <c r="V875" s="21">
        <v>580.08489999999995</v>
      </c>
      <c r="W875" s="21">
        <v>49.708500000000001</v>
      </c>
    </row>
    <row r="876" spans="2:23" x14ac:dyDescent="0.3">
      <c r="B876" s="21">
        <v>1140</v>
      </c>
      <c r="C876" s="21">
        <v>0.75</v>
      </c>
      <c r="D876" s="21">
        <v>0.05</v>
      </c>
      <c r="E876" s="21">
        <v>604.38549999999998</v>
      </c>
      <c r="F876" s="21">
        <v>591.18889999999999</v>
      </c>
      <c r="G876" s="21">
        <v>48.784700000000001</v>
      </c>
      <c r="J876" s="21">
        <v>1140</v>
      </c>
      <c r="K876" s="21">
        <v>0.75</v>
      </c>
      <c r="L876" s="21">
        <v>0.05</v>
      </c>
      <c r="M876" s="21">
        <v>617.15689999999995</v>
      </c>
      <c r="N876" s="21">
        <v>597.49530000000004</v>
      </c>
      <c r="O876" s="21">
        <v>48.224400000000003</v>
      </c>
      <c r="R876" s="21">
        <v>1140</v>
      </c>
      <c r="S876" s="21">
        <v>0.75</v>
      </c>
      <c r="T876" s="21">
        <v>0.05</v>
      </c>
      <c r="U876" s="21">
        <v>618.74980000000005</v>
      </c>
      <c r="V876" s="21">
        <v>598.25319999999999</v>
      </c>
      <c r="W876" s="21">
        <v>48.155099999999997</v>
      </c>
    </row>
    <row r="877" spans="2:23" x14ac:dyDescent="0.3">
      <c r="B877" s="21">
        <v>1340</v>
      </c>
      <c r="C877" s="21">
        <v>0.75</v>
      </c>
      <c r="D877" s="21">
        <v>0.05</v>
      </c>
      <c r="E877" s="21">
        <v>672.19119999999998</v>
      </c>
      <c r="F877" s="21">
        <v>620.41030000000001</v>
      </c>
      <c r="G877" s="21">
        <v>45.9133</v>
      </c>
      <c r="J877" s="21">
        <v>1340</v>
      </c>
      <c r="K877" s="21">
        <v>0.75</v>
      </c>
      <c r="L877" s="21">
        <v>0.05</v>
      </c>
      <c r="M877" s="21">
        <v>686.3723</v>
      </c>
      <c r="N877" s="21">
        <v>625.47029999999995</v>
      </c>
      <c r="O877" s="21">
        <v>45.349899999999998</v>
      </c>
      <c r="R877" s="21">
        <v>1340</v>
      </c>
      <c r="S877" s="21">
        <v>0.75</v>
      </c>
      <c r="T877" s="21">
        <v>0.05</v>
      </c>
      <c r="U877" s="21">
        <v>688.11789999999996</v>
      </c>
      <c r="V877" s="21">
        <v>626.07920000000001</v>
      </c>
      <c r="W877" s="21">
        <v>45.281500000000001</v>
      </c>
    </row>
    <row r="878" spans="2:23" x14ac:dyDescent="0.3">
      <c r="B878" s="21">
        <v>1540</v>
      </c>
      <c r="C878" s="21">
        <v>0.75</v>
      </c>
      <c r="D878" s="21">
        <v>0.05</v>
      </c>
      <c r="E878" s="21">
        <v>739.48239999999998</v>
      </c>
      <c r="F878" s="21">
        <v>643.99800000000005</v>
      </c>
      <c r="G878" s="21">
        <v>43.380899999999997</v>
      </c>
      <c r="J878" s="21">
        <v>1540</v>
      </c>
      <c r="K878" s="21">
        <v>0.75</v>
      </c>
      <c r="L878" s="21">
        <v>0.05</v>
      </c>
      <c r="M878" s="21">
        <v>754.6087</v>
      </c>
      <c r="N878" s="21">
        <v>649.89739999999995</v>
      </c>
      <c r="O878" s="21">
        <v>42.865400000000001</v>
      </c>
      <c r="R878" s="21">
        <v>1540</v>
      </c>
      <c r="S878" s="21">
        <v>0.75</v>
      </c>
      <c r="T878" s="21">
        <v>0.05</v>
      </c>
      <c r="U878" s="21">
        <v>756.45849999999996</v>
      </c>
      <c r="V878" s="21">
        <v>650.66070000000002</v>
      </c>
      <c r="W878" s="21">
        <v>42.803899999999999</v>
      </c>
    </row>
    <row r="879" spans="2:23" x14ac:dyDescent="0.3">
      <c r="B879" s="21">
        <v>1740</v>
      </c>
      <c r="C879" s="21">
        <v>0.75</v>
      </c>
      <c r="D879" s="21">
        <v>0.05</v>
      </c>
      <c r="E879" s="21">
        <v>801.0213</v>
      </c>
      <c r="F879" s="21">
        <v>673.41110000000003</v>
      </c>
      <c r="G879" s="21">
        <v>41.424799999999998</v>
      </c>
      <c r="J879" s="21">
        <v>1740</v>
      </c>
      <c r="K879" s="21">
        <v>0.75</v>
      </c>
      <c r="L879" s="21">
        <v>0.05</v>
      </c>
      <c r="M879" s="21">
        <v>816.34960000000001</v>
      </c>
      <c r="N879" s="21">
        <v>683.97460000000001</v>
      </c>
      <c r="O879" s="21">
        <v>40.999000000000002</v>
      </c>
      <c r="R879" s="21">
        <v>1740</v>
      </c>
      <c r="S879" s="21">
        <v>0.75</v>
      </c>
      <c r="T879" s="21">
        <v>0.05</v>
      </c>
      <c r="U879" s="21">
        <v>818.19090000000006</v>
      </c>
      <c r="V879" s="21">
        <v>685.36779999999999</v>
      </c>
      <c r="W879" s="21">
        <v>40.949599999999997</v>
      </c>
    </row>
    <row r="880" spans="2:23" x14ac:dyDescent="0.3">
      <c r="B880" s="21">
        <v>1940</v>
      </c>
      <c r="C880" s="21">
        <v>0.75</v>
      </c>
      <c r="D880" s="21">
        <v>0.05</v>
      </c>
      <c r="E880" s="21">
        <v>855.06179999999995</v>
      </c>
      <c r="F880" s="21">
        <v>720.21339999999998</v>
      </c>
      <c r="G880" s="21">
        <v>40.0426</v>
      </c>
      <c r="J880" s="21">
        <v>1940</v>
      </c>
      <c r="K880" s="21">
        <v>0.75</v>
      </c>
      <c r="L880" s="21">
        <v>0.05</v>
      </c>
      <c r="M880" s="21">
        <v>869.95119999999997</v>
      </c>
      <c r="N880" s="21">
        <v>738.80650000000003</v>
      </c>
      <c r="O880" s="21">
        <v>39.722299999999997</v>
      </c>
      <c r="R880" s="21">
        <v>1940</v>
      </c>
      <c r="S880" s="21">
        <v>0.75</v>
      </c>
      <c r="T880" s="21">
        <v>0.05</v>
      </c>
      <c r="U880" s="21">
        <v>871.72580000000005</v>
      </c>
      <c r="V880" s="21">
        <v>741.22720000000004</v>
      </c>
      <c r="W880" s="21">
        <v>39.685899999999997</v>
      </c>
    </row>
    <row r="881" spans="2:23" x14ac:dyDescent="0.3">
      <c r="B881" s="21">
        <v>2140</v>
      </c>
      <c r="C881" s="21">
        <v>0.75</v>
      </c>
      <c r="D881" s="21">
        <v>0.05</v>
      </c>
      <c r="E881" s="21">
        <v>901.55539999999996</v>
      </c>
      <c r="F881" s="21">
        <v>789.38139999999999</v>
      </c>
      <c r="G881" s="21">
        <v>39.134</v>
      </c>
      <c r="J881" s="21">
        <v>2140</v>
      </c>
      <c r="K881" s="21">
        <v>0.75</v>
      </c>
      <c r="L881" s="21">
        <v>0.05</v>
      </c>
      <c r="M881" s="21">
        <v>915.63930000000005</v>
      </c>
      <c r="N881" s="21">
        <v>817.65039999999999</v>
      </c>
      <c r="O881" s="21">
        <v>38.9133</v>
      </c>
      <c r="R881" s="21">
        <v>2140</v>
      </c>
      <c r="S881" s="21">
        <v>0.75</v>
      </c>
      <c r="T881" s="21">
        <v>0.05</v>
      </c>
      <c r="U881" s="21">
        <v>917.30899999999997</v>
      </c>
      <c r="V881" s="21">
        <v>821.26530000000002</v>
      </c>
      <c r="W881" s="21">
        <v>38.888800000000003</v>
      </c>
    </row>
    <row r="882" spans="2:23" x14ac:dyDescent="0.3">
      <c r="B882" s="21">
        <v>2340</v>
      </c>
      <c r="C882" s="21">
        <v>0.75</v>
      </c>
      <c r="D882" s="21">
        <v>0.05</v>
      </c>
      <c r="E882" s="21">
        <v>941.62310000000002</v>
      </c>
      <c r="F882" s="21">
        <v>880.8614</v>
      </c>
      <c r="G882" s="21">
        <v>38.575099999999999</v>
      </c>
      <c r="J882" s="21">
        <v>2340</v>
      </c>
      <c r="K882" s="21">
        <v>0.75</v>
      </c>
      <c r="L882" s="21">
        <v>0.05</v>
      </c>
      <c r="M882" s="21">
        <v>955.02319999999997</v>
      </c>
      <c r="N882" s="21">
        <v>919.78650000000005</v>
      </c>
      <c r="O882" s="21">
        <v>38.436399999999999</v>
      </c>
      <c r="R882" s="21">
        <v>2340</v>
      </c>
      <c r="S882" s="21">
        <v>0.75</v>
      </c>
      <c r="T882" s="21">
        <v>0.05</v>
      </c>
      <c r="U882" s="21">
        <v>956.58190000000002</v>
      </c>
      <c r="V882" s="21">
        <v>924.6191</v>
      </c>
      <c r="W882" s="21">
        <v>38.421900000000001</v>
      </c>
    </row>
    <row r="883" spans="2:23" x14ac:dyDescent="0.3">
      <c r="B883" s="21">
        <v>2540</v>
      </c>
      <c r="C883" s="21">
        <v>0.75</v>
      </c>
      <c r="D883" s="21">
        <v>0.05</v>
      </c>
      <c r="E883" s="21">
        <v>976.9665</v>
      </c>
      <c r="F883" s="21">
        <v>994.11080000000004</v>
      </c>
      <c r="G883" s="21">
        <v>38.262999999999998</v>
      </c>
      <c r="J883" s="21">
        <v>2540</v>
      </c>
      <c r="K883" s="21">
        <v>0.75</v>
      </c>
      <c r="L883" s="21">
        <v>0.05</v>
      </c>
      <c r="M883" s="21">
        <v>990.00199999999995</v>
      </c>
      <c r="N883" s="21">
        <v>1045.1142</v>
      </c>
      <c r="O883" s="21">
        <v>38.192</v>
      </c>
      <c r="R883" s="21">
        <v>2540</v>
      </c>
      <c r="S883" s="21">
        <v>0.75</v>
      </c>
      <c r="T883" s="21">
        <v>0.05</v>
      </c>
      <c r="U883" s="21">
        <v>991.48609999999996</v>
      </c>
      <c r="V883" s="21">
        <v>1051.268</v>
      </c>
      <c r="W883" s="21">
        <v>38.185499999999998</v>
      </c>
    </row>
    <row r="884" spans="2:23" x14ac:dyDescent="0.3">
      <c r="B884" s="21">
        <v>2740</v>
      </c>
      <c r="C884" s="21">
        <v>0.75</v>
      </c>
      <c r="D884" s="21">
        <v>0.05</v>
      </c>
      <c r="E884" s="21">
        <v>1009.3062</v>
      </c>
      <c r="F884" s="21">
        <v>1131.0352</v>
      </c>
      <c r="G884" s="21">
        <v>38.131500000000003</v>
      </c>
      <c r="J884" s="21">
        <v>2740</v>
      </c>
      <c r="K884" s="21">
        <v>0.75</v>
      </c>
      <c r="L884" s="21">
        <v>0.05</v>
      </c>
      <c r="M884" s="21">
        <v>1022.7371000000001</v>
      </c>
      <c r="N884" s="21">
        <v>1198.7589</v>
      </c>
      <c r="O884" s="21">
        <v>38.121000000000002</v>
      </c>
      <c r="R884" s="21">
        <v>2740</v>
      </c>
      <c r="S884" s="21">
        <v>0.75</v>
      </c>
      <c r="T884" s="21">
        <v>0.05</v>
      </c>
      <c r="U884" s="21">
        <v>1024.3099</v>
      </c>
      <c r="V884" s="21">
        <v>1207.1418000000001</v>
      </c>
      <c r="W884" s="21">
        <v>38.121499999999997</v>
      </c>
    </row>
    <row r="885" spans="2:23" x14ac:dyDescent="0.3">
      <c r="B885" s="21">
        <v>2940</v>
      </c>
      <c r="C885" s="21">
        <v>0.75</v>
      </c>
      <c r="D885" s="21">
        <v>0.05</v>
      </c>
      <c r="E885" s="21">
        <v>1041.0343</v>
      </c>
      <c r="F885" s="21">
        <v>1100.4507000000001</v>
      </c>
      <c r="G885" s="21">
        <v>38.149099999999997</v>
      </c>
      <c r="J885" s="21">
        <v>2940</v>
      </c>
      <c r="K885" s="21">
        <v>0.75</v>
      </c>
      <c r="L885" s="21">
        <v>0.05</v>
      </c>
      <c r="M885" s="21">
        <v>1056.5881999999999</v>
      </c>
      <c r="N885" s="21">
        <v>1043.675</v>
      </c>
      <c r="O885" s="21">
        <v>38.2117</v>
      </c>
      <c r="R885" s="21">
        <v>2940</v>
      </c>
      <c r="S885" s="21">
        <v>0.75</v>
      </c>
      <c r="T885" s="21">
        <v>0.05</v>
      </c>
      <c r="U885" s="21">
        <v>1058.4018000000001</v>
      </c>
      <c r="V885" s="21">
        <v>1037.2927</v>
      </c>
      <c r="W885" s="21">
        <v>38.221299999999999</v>
      </c>
    </row>
    <row r="886" spans="2:23" x14ac:dyDescent="0.3">
      <c r="B886" s="21">
        <v>3060</v>
      </c>
      <c r="C886" s="21">
        <v>0.75</v>
      </c>
      <c r="D886" s="21">
        <v>0.05</v>
      </c>
      <c r="E886" s="21">
        <v>1060.7193</v>
      </c>
      <c r="F886" s="21">
        <v>1029.2104999999999</v>
      </c>
      <c r="G886" s="21">
        <v>38.234299999999998</v>
      </c>
      <c r="J886" s="21">
        <v>3060</v>
      </c>
      <c r="K886" s="21">
        <v>0.75</v>
      </c>
      <c r="L886" s="21">
        <v>0.05</v>
      </c>
      <c r="M886" s="21">
        <v>1077.6565000000001</v>
      </c>
      <c r="N886" s="21">
        <v>972.68200000000002</v>
      </c>
      <c r="O886" s="21">
        <v>38.353700000000003</v>
      </c>
      <c r="R886" s="21">
        <v>3060</v>
      </c>
      <c r="S886" s="21">
        <v>0.75</v>
      </c>
      <c r="T886" s="21">
        <v>0.05</v>
      </c>
      <c r="U886" s="21">
        <v>1079.607</v>
      </c>
      <c r="V886" s="21">
        <v>966.46349999999995</v>
      </c>
      <c r="W886" s="21">
        <v>38.370199999999997</v>
      </c>
    </row>
    <row r="887" spans="2:23" x14ac:dyDescent="0.3">
      <c r="B887" s="21">
        <v>3260</v>
      </c>
      <c r="C887" s="21">
        <v>0.75</v>
      </c>
      <c r="D887" s="21">
        <v>0.05</v>
      </c>
      <c r="E887" s="21">
        <v>1105.538</v>
      </c>
      <c r="F887" s="21">
        <v>889.69799999999998</v>
      </c>
      <c r="G887" s="21">
        <v>38.643599999999999</v>
      </c>
      <c r="J887" s="21">
        <v>3260</v>
      </c>
      <c r="K887" s="21">
        <v>0.75</v>
      </c>
      <c r="L887" s="21">
        <v>0.05</v>
      </c>
      <c r="M887" s="21">
        <v>1125.1161999999999</v>
      </c>
      <c r="N887" s="21">
        <v>839.26909999999998</v>
      </c>
      <c r="O887" s="21">
        <v>38.917000000000002</v>
      </c>
      <c r="R887" s="21">
        <v>3260</v>
      </c>
      <c r="S887" s="21">
        <v>0.75</v>
      </c>
      <c r="T887" s="21">
        <v>0.05</v>
      </c>
      <c r="U887" s="21">
        <v>1127.3703</v>
      </c>
      <c r="V887" s="21">
        <v>833.89290000000005</v>
      </c>
      <c r="W887" s="21">
        <v>38.952100000000002</v>
      </c>
    </row>
    <row r="888" spans="2:23" x14ac:dyDescent="0.3">
      <c r="B888" s="21">
        <v>3460</v>
      </c>
      <c r="C888" s="21">
        <v>0.75</v>
      </c>
      <c r="D888" s="21">
        <v>0.05</v>
      </c>
      <c r="E888" s="21">
        <v>1153.7686000000001</v>
      </c>
      <c r="F888" s="21">
        <v>777.75909999999999</v>
      </c>
      <c r="G888" s="21">
        <v>39.421199999999999</v>
      </c>
      <c r="J888" s="21">
        <v>3460</v>
      </c>
      <c r="K888" s="21">
        <v>0.75</v>
      </c>
      <c r="L888" s="21">
        <v>0.05</v>
      </c>
      <c r="M888" s="21">
        <v>1175.1174000000001</v>
      </c>
      <c r="N888" s="21">
        <v>741.87580000000003</v>
      </c>
      <c r="O888" s="21">
        <v>39.877499999999998</v>
      </c>
      <c r="R888" s="21">
        <v>3460</v>
      </c>
      <c r="S888" s="21">
        <v>0.75</v>
      </c>
      <c r="T888" s="21">
        <v>0.05</v>
      </c>
      <c r="U888" s="21">
        <v>1177.5637999999999</v>
      </c>
      <c r="V888" s="21">
        <v>738.32500000000005</v>
      </c>
      <c r="W888" s="21">
        <v>39.934199999999997</v>
      </c>
    </row>
    <row r="889" spans="2:23" x14ac:dyDescent="0.3">
      <c r="B889" s="21">
        <v>3660</v>
      </c>
      <c r="C889" s="21">
        <v>0.75</v>
      </c>
      <c r="D889" s="21">
        <v>0.05</v>
      </c>
      <c r="E889" s="21">
        <v>1200.2075</v>
      </c>
      <c r="F889" s="21">
        <v>703</v>
      </c>
      <c r="G889" s="21">
        <v>40.501399999999997</v>
      </c>
      <c r="J889" s="21">
        <v>3660</v>
      </c>
      <c r="K889" s="21">
        <v>0.75</v>
      </c>
      <c r="L889" s="21">
        <v>0.05</v>
      </c>
      <c r="M889" s="21">
        <v>1221.9555</v>
      </c>
      <c r="N889" s="21">
        <v>703</v>
      </c>
      <c r="O889" s="21">
        <v>41.118400000000001</v>
      </c>
      <c r="R889" s="21">
        <v>3660</v>
      </c>
      <c r="S889" s="21">
        <v>0.75</v>
      </c>
      <c r="T889" s="21">
        <v>0.05</v>
      </c>
      <c r="U889" s="21">
        <v>1224.4217000000001</v>
      </c>
      <c r="V889" s="21">
        <v>703</v>
      </c>
      <c r="W889" s="21">
        <v>41.192799999999998</v>
      </c>
    </row>
    <row r="890" spans="2:23" x14ac:dyDescent="0.3">
      <c r="B890" s="21">
        <v>3860</v>
      </c>
      <c r="C890" s="21">
        <v>0.75</v>
      </c>
      <c r="D890" s="21">
        <v>0.05</v>
      </c>
      <c r="E890" s="21">
        <v>1242.1101000000001</v>
      </c>
      <c r="F890" s="21">
        <v>703</v>
      </c>
      <c r="G890" s="21">
        <v>41.753</v>
      </c>
      <c r="J890" s="21">
        <v>3860</v>
      </c>
      <c r="K890" s="21">
        <v>0.75</v>
      </c>
      <c r="L890" s="21">
        <v>0.05</v>
      </c>
      <c r="M890" s="21">
        <v>1263.3575000000001</v>
      </c>
      <c r="N890" s="21">
        <v>703</v>
      </c>
      <c r="O890" s="21">
        <v>42.486699999999999</v>
      </c>
      <c r="R890" s="21">
        <v>3860</v>
      </c>
      <c r="S890" s="21">
        <v>0.75</v>
      </c>
      <c r="T890" s="21">
        <v>0.05</v>
      </c>
      <c r="U890" s="21">
        <v>1265.7863</v>
      </c>
      <c r="V890" s="21">
        <v>703</v>
      </c>
      <c r="W890" s="21">
        <v>42.574800000000003</v>
      </c>
    </row>
    <row r="891" spans="2:23" x14ac:dyDescent="0.3">
      <c r="B891" s="21">
        <v>4060</v>
      </c>
      <c r="C891" s="21">
        <v>0.75</v>
      </c>
      <c r="D891" s="21">
        <v>0.05</v>
      </c>
      <c r="E891" s="21">
        <v>1278.8909000000001</v>
      </c>
      <c r="F891" s="21">
        <v>703</v>
      </c>
      <c r="G891" s="21">
        <v>43.064799999999998</v>
      </c>
      <c r="J891" s="21">
        <v>4060</v>
      </c>
      <c r="K891" s="21">
        <v>0.75</v>
      </c>
      <c r="L891" s="21">
        <v>0.05</v>
      </c>
      <c r="M891" s="21">
        <v>1299.5714</v>
      </c>
      <c r="N891" s="21">
        <v>703</v>
      </c>
      <c r="O891" s="21">
        <v>43.888300000000001</v>
      </c>
      <c r="R891" s="21">
        <v>4060</v>
      </c>
      <c r="S891" s="21">
        <v>0.75</v>
      </c>
      <c r="T891" s="21">
        <v>0.05</v>
      </c>
      <c r="U891" s="21">
        <v>1301.9589000000001</v>
      </c>
      <c r="V891" s="21">
        <v>703</v>
      </c>
      <c r="W891" s="21">
        <v>43.987299999999998</v>
      </c>
    </row>
    <row r="892" spans="2:23" x14ac:dyDescent="0.3">
      <c r="B892" s="21">
        <v>4260</v>
      </c>
      <c r="C892" s="21">
        <v>0.75</v>
      </c>
      <c r="D892" s="21">
        <v>0.05</v>
      </c>
      <c r="E892" s="21">
        <v>1310.9265</v>
      </c>
      <c r="F892" s="21">
        <v>703</v>
      </c>
      <c r="G892" s="21">
        <v>44.366300000000003</v>
      </c>
      <c r="J892" s="21">
        <v>4260</v>
      </c>
      <c r="K892" s="21">
        <v>0.75</v>
      </c>
      <c r="L892" s="21">
        <v>0.05</v>
      </c>
      <c r="M892" s="21">
        <v>1331.0356999999999</v>
      </c>
      <c r="N892" s="21">
        <v>703</v>
      </c>
      <c r="O892" s="21">
        <v>45.257300000000001</v>
      </c>
      <c r="R892" s="21">
        <v>4260</v>
      </c>
      <c r="S892" s="21">
        <v>0.75</v>
      </c>
      <c r="T892" s="21">
        <v>0.05</v>
      </c>
      <c r="U892" s="21">
        <v>1333.3788</v>
      </c>
      <c r="V892" s="21">
        <v>703</v>
      </c>
      <c r="W892" s="21">
        <v>45.364699999999999</v>
      </c>
    </row>
    <row r="893" spans="2:23" x14ac:dyDescent="0.3">
      <c r="B893" s="21">
        <v>4460</v>
      </c>
      <c r="C893" s="21">
        <v>0.75</v>
      </c>
      <c r="D893" s="21">
        <v>0.05</v>
      </c>
      <c r="E893" s="21">
        <v>1338.6917000000001</v>
      </c>
      <c r="F893" s="21">
        <v>703</v>
      </c>
      <c r="G893" s="21">
        <v>45.611199999999997</v>
      </c>
      <c r="J893" s="21">
        <v>4460</v>
      </c>
      <c r="K893" s="21">
        <v>0.75</v>
      </c>
      <c r="L893" s="21">
        <v>0.05</v>
      </c>
      <c r="M893" s="21">
        <v>1358.2303999999999</v>
      </c>
      <c r="N893" s="21">
        <v>703</v>
      </c>
      <c r="O893" s="21">
        <v>46.550699999999999</v>
      </c>
      <c r="R893" s="21">
        <v>4460</v>
      </c>
      <c r="S893" s="21">
        <v>0.75</v>
      </c>
      <c r="T893" s="21">
        <v>0.05</v>
      </c>
      <c r="U893" s="21">
        <v>1360.5103999999999</v>
      </c>
      <c r="V893" s="21">
        <v>703</v>
      </c>
      <c r="W893" s="21">
        <v>46.663600000000002</v>
      </c>
    </row>
    <row r="894" spans="2:23" x14ac:dyDescent="0.3">
      <c r="B894" s="21">
        <v>4660</v>
      </c>
      <c r="C894" s="21">
        <v>0.75</v>
      </c>
      <c r="D894" s="21">
        <v>0.05</v>
      </c>
      <c r="E894" s="21">
        <v>1362.6587</v>
      </c>
      <c r="F894" s="21">
        <v>703</v>
      </c>
      <c r="G894" s="21">
        <v>46.770699999999998</v>
      </c>
      <c r="J894" s="21">
        <v>4660</v>
      </c>
      <c r="K894" s="21">
        <v>0.75</v>
      </c>
      <c r="L894" s="21">
        <v>0.05</v>
      </c>
      <c r="M894" s="21">
        <v>1381.5915</v>
      </c>
      <c r="N894" s="21">
        <v>703</v>
      </c>
      <c r="O894" s="21">
        <v>47.740900000000003</v>
      </c>
      <c r="R894" s="21">
        <v>4660</v>
      </c>
      <c r="S894" s="21">
        <v>0.75</v>
      </c>
      <c r="T894" s="21">
        <v>0.05</v>
      </c>
      <c r="U894" s="21">
        <v>1383.8185000000001</v>
      </c>
      <c r="V894" s="21">
        <v>703</v>
      </c>
      <c r="W894" s="21">
        <v>47.8581</v>
      </c>
    </row>
    <row r="895" spans="2:23" x14ac:dyDescent="0.3">
      <c r="B895" s="21">
        <v>4860</v>
      </c>
      <c r="C895" s="21">
        <v>0.75</v>
      </c>
      <c r="D895" s="21">
        <v>0.05</v>
      </c>
      <c r="E895" s="21">
        <v>1383.2239999999999</v>
      </c>
      <c r="F895" s="21">
        <v>703</v>
      </c>
      <c r="G895" s="21">
        <v>47.826799999999999</v>
      </c>
      <c r="J895" s="21">
        <v>4860</v>
      </c>
      <c r="K895" s="21">
        <v>0.75</v>
      </c>
      <c r="L895" s="21">
        <v>0.05</v>
      </c>
      <c r="M895" s="21">
        <v>1401.5876000000001</v>
      </c>
      <c r="N895" s="21">
        <v>703</v>
      </c>
      <c r="O895" s="21">
        <v>48.816200000000002</v>
      </c>
      <c r="R895" s="21">
        <v>4860</v>
      </c>
      <c r="S895" s="21">
        <v>0.75</v>
      </c>
      <c r="T895" s="21">
        <v>0.05</v>
      </c>
      <c r="U895" s="21">
        <v>1403.7483999999999</v>
      </c>
      <c r="V895" s="21">
        <v>703</v>
      </c>
      <c r="W895" s="21">
        <v>48.935400000000001</v>
      </c>
    </row>
    <row r="896" spans="2:23" x14ac:dyDescent="0.3">
      <c r="B896" s="21">
        <v>4980</v>
      </c>
      <c r="C896" s="21">
        <v>0.75</v>
      </c>
      <c r="D896" s="21">
        <v>0.05</v>
      </c>
      <c r="E896" s="21">
        <v>1394.4549</v>
      </c>
      <c r="F896" s="21">
        <v>703</v>
      </c>
      <c r="G896" s="21">
        <v>48.426699999999997</v>
      </c>
      <c r="J896" s="21">
        <v>4980</v>
      </c>
      <c r="K896" s="21">
        <v>0.75</v>
      </c>
      <c r="L896" s="21">
        <v>0.05</v>
      </c>
      <c r="M896" s="21">
        <v>1412.4666999999999</v>
      </c>
      <c r="N896" s="21">
        <v>703</v>
      </c>
      <c r="O896" s="21">
        <v>49.422499999999999</v>
      </c>
      <c r="R896" s="21">
        <v>4980</v>
      </c>
      <c r="S896" s="21">
        <v>0.75</v>
      </c>
      <c r="T896" s="21">
        <v>0.05</v>
      </c>
      <c r="U896" s="21">
        <v>1414.5844999999999</v>
      </c>
      <c r="V896" s="21">
        <v>703</v>
      </c>
      <c r="W896" s="21">
        <v>49.542299999999997</v>
      </c>
    </row>
    <row r="897" spans="2:23" x14ac:dyDescent="0.3">
      <c r="B897" s="21">
        <v>5180</v>
      </c>
      <c r="C897" s="21">
        <v>0.75</v>
      </c>
      <c r="D897" s="21">
        <v>0.05</v>
      </c>
      <c r="E897" s="21">
        <v>1409.4384</v>
      </c>
      <c r="F897" s="21">
        <v>703</v>
      </c>
      <c r="G897" s="21">
        <v>49.252299999999998</v>
      </c>
      <c r="J897" s="21">
        <v>5180</v>
      </c>
      <c r="K897" s="21">
        <v>0.75</v>
      </c>
      <c r="L897" s="21">
        <v>0.05</v>
      </c>
      <c r="M897" s="21">
        <v>1426.8536999999999</v>
      </c>
      <c r="N897" s="21">
        <v>703</v>
      </c>
      <c r="O897" s="21">
        <v>50.246899999999997</v>
      </c>
      <c r="R897" s="21">
        <v>5180</v>
      </c>
      <c r="S897" s="21">
        <v>0.75</v>
      </c>
      <c r="T897" s="21">
        <v>0.05</v>
      </c>
      <c r="U897" s="21">
        <v>1428.9147</v>
      </c>
      <c r="V897" s="21">
        <v>703</v>
      </c>
      <c r="W897" s="21">
        <v>50.367100000000001</v>
      </c>
    </row>
    <row r="898" spans="2:23" x14ac:dyDescent="0.3">
      <c r="B898" s="21">
        <v>5380</v>
      </c>
      <c r="C898" s="21">
        <v>0.75</v>
      </c>
      <c r="D898" s="21">
        <v>0.05</v>
      </c>
      <c r="E898" s="21">
        <v>1422.2575999999999</v>
      </c>
      <c r="F898" s="21">
        <v>703</v>
      </c>
      <c r="G898" s="21">
        <v>49.980800000000002</v>
      </c>
      <c r="J898" s="21">
        <v>5380</v>
      </c>
      <c r="K898" s="21">
        <v>0.75</v>
      </c>
      <c r="L898" s="21">
        <v>0.05</v>
      </c>
      <c r="M898" s="21">
        <v>1439.1415</v>
      </c>
      <c r="N898" s="21">
        <v>703</v>
      </c>
      <c r="O898" s="21">
        <v>50.970999999999997</v>
      </c>
      <c r="R898" s="21">
        <v>5380</v>
      </c>
      <c r="S898" s="21">
        <v>0.75</v>
      </c>
      <c r="T898" s="21">
        <v>0.05</v>
      </c>
      <c r="U898" s="21">
        <v>1441.1495</v>
      </c>
      <c r="V898" s="21">
        <v>703</v>
      </c>
      <c r="W898" s="21">
        <v>51.091000000000001</v>
      </c>
    </row>
    <row r="899" spans="2:23" x14ac:dyDescent="0.3">
      <c r="B899" s="21">
        <v>5580</v>
      </c>
      <c r="C899" s="21">
        <v>0.75</v>
      </c>
      <c r="D899" s="21">
        <v>0.05</v>
      </c>
      <c r="E899" s="21">
        <v>1433.3271999999999</v>
      </c>
      <c r="F899" s="21">
        <v>703</v>
      </c>
      <c r="G899" s="21">
        <v>50.626100000000001</v>
      </c>
      <c r="J899" s="21">
        <v>5580</v>
      </c>
      <c r="K899" s="21">
        <v>0.75</v>
      </c>
      <c r="L899" s="21">
        <v>0.05</v>
      </c>
      <c r="M899" s="21">
        <v>1449.7464</v>
      </c>
      <c r="N899" s="21">
        <v>703</v>
      </c>
      <c r="O899" s="21">
        <v>51.610300000000002</v>
      </c>
      <c r="R899" s="21">
        <v>5580</v>
      </c>
      <c r="S899" s="21">
        <v>0.75</v>
      </c>
      <c r="T899" s="21">
        <v>0.05</v>
      </c>
      <c r="U899" s="21">
        <v>1451.7074</v>
      </c>
      <c r="V899" s="21">
        <v>703</v>
      </c>
      <c r="W899" s="21">
        <v>51.73</v>
      </c>
    </row>
    <row r="900" spans="2:23" x14ac:dyDescent="0.3">
      <c r="B900" s="21">
        <v>5780</v>
      </c>
      <c r="C900" s="21">
        <v>0.75</v>
      </c>
      <c r="D900" s="21">
        <v>0.05</v>
      </c>
      <c r="E900" s="21">
        <v>1442.8468</v>
      </c>
      <c r="F900" s="21">
        <v>703</v>
      </c>
      <c r="G900" s="21">
        <v>51.192900000000002</v>
      </c>
      <c r="J900" s="21">
        <v>5780</v>
      </c>
      <c r="K900" s="21">
        <v>0.75</v>
      </c>
      <c r="L900" s="21">
        <v>0.05</v>
      </c>
      <c r="M900" s="21">
        <v>1458.86</v>
      </c>
      <c r="N900" s="21">
        <v>703</v>
      </c>
      <c r="O900" s="21">
        <v>52.170200000000001</v>
      </c>
      <c r="R900" s="21">
        <v>5780</v>
      </c>
      <c r="S900" s="21">
        <v>0.75</v>
      </c>
      <c r="T900" s="21">
        <v>0.05</v>
      </c>
      <c r="U900" s="21">
        <v>1460.7659000000001</v>
      </c>
      <c r="V900" s="21">
        <v>703</v>
      </c>
      <c r="W900" s="21">
        <v>52.288499999999999</v>
      </c>
    </row>
    <row r="901" spans="2:23" x14ac:dyDescent="0.3">
      <c r="B901" s="21">
        <v>5980</v>
      </c>
      <c r="C901" s="21">
        <v>0.75</v>
      </c>
      <c r="D901" s="21">
        <v>0.05</v>
      </c>
      <c r="E901" s="21">
        <v>1451.0142000000001</v>
      </c>
      <c r="F901" s="21">
        <v>703</v>
      </c>
      <c r="G901" s="21">
        <v>51.687600000000003</v>
      </c>
      <c r="J901" s="21">
        <v>5980</v>
      </c>
      <c r="K901" s="21">
        <v>0.75</v>
      </c>
      <c r="L901" s="21">
        <v>0.05</v>
      </c>
      <c r="M901" s="21">
        <v>1466.6316999999999</v>
      </c>
      <c r="N901" s="21">
        <v>703</v>
      </c>
      <c r="O901" s="21">
        <v>52.655200000000001</v>
      </c>
      <c r="R901" s="21">
        <v>5980</v>
      </c>
      <c r="S901" s="21">
        <v>0.75</v>
      </c>
      <c r="T901" s="21">
        <v>0.05</v>
      </c>
      <c r="U901" s="21">
        <v>1468.4929</v>
      </c>
      <c r="V901" s="21">
        <v>703</v>
      </c>
      <c r="W901" s="21">
        <v>52.772399999999998</v>
      </c>
    </row>
    <row r="902" spans="2:23" x14ac:dyDescent="0.3">
      <c r="B902" s="21">
        <v>6180</v>
      </c>
      <c r="C902" s="21">
        <v>0.75</v>
      </c>
      <c r="D902" s="21">
        <v>0.05</v>
      </c>
      <c r="E902" s="21">
        <v>1457.9694999999999</v>
      </c>
      <c r="F902" s="21">
        <v>703</v>
      </c>
      <c r="G902" s="21">
        <v>52.115099999999998</v>
      </c>
      <c r="J902" s="21">
        <v>6180</v>
      </c>
      <c r="K902" s="21">
        <v>0.75</v>
      </c>
      <c r="L902" s="21">
        <v>0.05</v>
      </c>
      <c r="M902" s="21">
        <v>1473.2309</v>
      </c>
      <c r="N902" s="21">
        <v>703</v>
      </c>
      <c r="O902" s="21">
        <v>53.072400000000002</v>
      </c>
      <c r="R902" s="21">
        <v>6180</v>
      </c>
      <c r="S902" s="21">
        <v>0.75</v>
      </c>
      <c r="T902" s="21">
        <v>0.05</v>
      </c>
      <c r="U902" s="21">
        <v>1475.0481</v>
      </c>
      <c r="V902" s="21">
        <v>703</v>
      </c>
      <c r="W902" s="21">
        <v>53.188099999999999</v>
      </c>
    </row>
    <row r="903" spans="2:23" x14ac:dyDescent="0.3">
      <c r="B903" s="21">
        <v>6380</v>
      </c>
      <c r="C903" s="21">
        <v>0.75</v>
      </c>
      <c r="D903" s="21">
        <v>0.05</v>
      </c>
      <c r="E903" s="21">
        <v>1463.8720000000001</v>
      </c>
      <c r="F903" s="21">
        <v>703</v>
      </c>
      <c r="G903" s="21">
        <v>52.482199999999999</v>
      </c>
      <c r="J903" s="21">
        <v>6380</v>
      </c>
      <c r="K903" s="21">
        <v>0.75</v>
      </c>
      <c r="L903" s="21">
        <v>0.05</v>
      </c>
      <c r="M903" s="21">
        <v>1478.8056999999999</v>
      </c>
      <c r="N903" s="21">
        <v>703</v>
      </c>
      <c r="O903" s="21">
        <v>53.4285</v>
      </c>
      <c r="R903" s="21">
        <v>6380</v>
      </c>
      <c r="S903" s="21">
        <v>0.75</v>
      </c>
      <c r="T903" s="21">
        <v>0.05</v>
      </c>
      <c r="U903" s="21">
        <v>1480.5923</v>
      </c>
      <c r="V903" s="21">
        <v>703</v>
      </c>
      <c r="W903" s="21">
        <v>53.543399999999998</v>
      </c>
    </row>
    <row r="904" spans="2:23" x14ac:dyDescent="0.3">
      <c r="B904" s="21">
        <v>6580</v>
      </c>
      <c r="C904" s="21">
        <v>0.75</v>
      </c>
      <c r="D904" s="21">
        <v>0.05</v>
      </c>
      <c r="E904" s="21">
        <v>1468.8648000000001</v>
      </c>
      <c r="F904" s="21">
        <v>703</v>
      </c>
      <c r="G904" s="21">
        <v>52.7958</v>
      </c>
      <c r="J904" s="21">
        <v>6580</v>
      </c>
      <c r="K904" s="21">
        <v>0.75</v>
      </c>
      <c r="L904" s="21">
        <v>0.05</v>
      </c>
      <c r="M904" s="21">
        <v>1483.5163</v>
      </c>
      <c r="N904" s="21">
        <v>703</v>
      </c>
      <c r="O904" s="21">
        <v>53.732199999999999</v>
      </c>
      <c r="R904" s="21">
        <v>6580</v>
      </c>
      <c r="S904" s="21">
        <v>0.75</v>
      </c>
      <c r="T904" s="21">
        <v>0.05</v>
      </c>
      <c r="U904" s="21">
        <v>1485.2710999999999</v>
      </c>
      <c r="V904" s="21">
        <v>703</v>
      </c>
      <c r="W904" s="21">
        <v>53.8459</v>
      </c>
    </row>
    <row r="905" spans="2:23" x14ac:dyDescent="0.3">
      <c r="B905" s="21">
        <v>6780</v>
      </c>
      <c r="C905" s="21">
        <v>0.75</v>
      </c>
      <c r="D905" s="21">
        <v>0.05</v>
      </c>
      <c r="E905" s="21">
        <v>1473.0998999999999</v>
      </c>
      <c r="F905" s="21">
        <v>703</v>
      </c>
      <c r="G905" s="21">
        <v>53.064</v>
      </c>
      <c r="J905" s="21">
        <v>6780</v>
      </c>
      <c r="K905" s="21">
        <v>0.75</v>
      </c>
      <c r="L905" s="21">
        <v>0.05</v>
      </c>
      <c r="M905" s="21">
        <v>1487.4937</v>
      </c>
      <c r="N905" s="21">
        <v>703</v>
      </c>
      <c r="O905" s="21">
        <v>53.990400000000001</v>
      </c>
      <c r="R905" s="21">
        <v>6780</v>
      </c>
      <c r="S905" s="21">
        <v>0.75</v>
      </c>
      <c r="T905" s="21">
        <v>0.05</v>
      </c>
      <c r="U905" s="21">
        <v>1489.2146</v>
      </c>
      <c r="V905" s="21">
        <v>703</v>
      </c>
      <c r="W905" s="21">
        <v>54.102600000000002</v>
      </c>
    </row>
    <row r="906" spans="2:23" x14ac:dyDescent="0.3">
      <c r="B906" s="21">
        <v>6980</v>
      </c>
      <c r="C906" s="21">
        <v>0.75</v>
      </c>
      <c r="D906" s="21">
        <v>0.05</v>
      </c>
      <c r="E906" s="21">
        <v>1476.6789000000001</v>
      </c>
      <c r="F906" s="21">
        <v>703</v>
      </c>
      <c r="G906" s="21">
        <v>53.292200000000001</v>
      </c>
      <c r="J906" s="21">
        <v>6980</v>
      </c>
      <c r="K906" s="21">
        <v>0.75</v>
      </c>
      <c r="L906" s="21">
        <v>0.05</v>
      </c>
      <c r="M906" s="21">
        <v>1490.8376000000001</v>
      </c>
      <c r="N906" s="21">
        <v>703</v>
      </c>
      <c r="O906" s="21">
        <v>54.208799999999997</v>
      </c>
      <c r="R906" s="21">
        <v>6980</v>
      </c>
      <c r="S906" s="21">
        <v>0.75</v>
      </c>
      <c r="T906" s="21">
        <v>0.05</v>
      </c>
      <c r="U906" s="21">
        <v>1492.5346999999999</v>
      </c>
      <c r="V906" s="21">
        <v>703</v>
      </c>
      <c r="W906" s="21">
        <v>54.320099999999996</v>
      </c>
    </row>
    <row r="907" spans="2:23" x14ac:dyDescent="0.3">
      <c r="B907" s="21">
        <v>7180</v>
      </c>
      <c r="C907" s="21">
        <v>0.75</v>
      </c>
      <c r="D907" s="21">
        <v>0.05</v>
      </c>
      <c r="E907" s="21">
        <v>1479.6919</v>
      </c>
      <c r="F907" s="21">
        <v>703</v>
      </c>
      <c r="G907" s="21">
        <v>53.485500000000002</v>
      </c>
      <c r="J907" s="21">
        <v>7180</v>
      </c>
      <c r="K907" s="21">
        <v>0.75</v>
      </c>
      <c r="L907" s="21">
        <v>0.05</v>
      </c>
      <c r="M907" s="21">
        <v>1493.6574000000001</v>
      </c>
      <c r="N907" s="21">
        <v>703</v>
      </c>
      <c r="O907" s="21">
        <v>54.393900000000002</v>
      </c>
      <c r="R907" s="21">
        <v>7180</v>
      </c>
      <c r="S907" s="21">
        <v>0.75</v>
      </c>
      <c r="T907" s="21">
        <v>0.05</v>
      </c>
      <c r="U907" s="21">
        <v>1495.3289</v>
      </c>
      <c r="V907" s="21">
        <v>703</v>
      </c>
      <c r="W907" s="21">
        <v>54.504100000000001</v>
      </c>
    </row>
    <row r="908" spans="2:23" x14ac:dyDescent="0.3">
      <c r="B908" s="21">
        <v>7380</v>
      </c>
      <c r="C908" s="21">
        <v>0.75</v>
      </c>
      <c r="D908" s="21">
        <v>0.05</v>
      </c>
      <c r="E908" s="21">
        <v>1482.2366999999999</v>
      </c>
      <c r="F908" s="21">
        <v>703</v>
      </c>
      <c r="G908" s="21">
        <v>53.6494</v>
      </c>
      <c r="J908" s="21">
        <v>7380</v>
      </c>
      <c r="K908" s="21">
        <v>0.75</v>
      </c>
      <c r="L908" s="21">
        <v>0.05</v>
      </c>
      <c r="M908" s="21">
        <v>1496.0235</v>
      </c>
      <c r="N908" s="21">
        <v>703</v>
      </c>
      <c r="O908" s="21">
        <v>54.549900000000001</v>
      </c>
      <c r="R908" s="21">
        <v>7380</v>
      </c>
      <c r="S908" s="21">
        <v>0.75</v>
      </c>
      <c r="T908" s="21">
        <v>0.05</v>
      </c>
      <c r="U908" s="21">
        <v>1497.6786999999999</v>
      </c>
      <c r="V908" s="21">
        <v>703</v>
      </c>
      <c r="W908" s="21">
        <v>54.659399999999998</v>
      </c>
    </row>
    <row r="909" spans="2:23" x14ac:dyDescent="0.3">
      <c r="B909" s="21">
        <v>7580</v>
      </c>
      <c r="C909" s="21">
        <v>0.75</v>
      </c>
      <c r="D909" s="21">
        <v>0.05</v>
      </c>
      <c r="E909" s="21">
        <v>1484.3958</v>
      </c>
      <c r="F909" s="21">
        <v>703</v>
      </c>
      <c r="G909" s="21">
        <v>53.789099999999998</v>
      </c>
      <c r="J909" s="21">
        <v>7580</v>
      </c>
      <c r="K909" s="21">
        <v>0.75</v>
      </c>
      <c r="L909" s="21">
        <v>0.05</v>
      </c>
      <c r="M909" s="21">
        <v>1498.0197000000001</v>
      </c>
      <c r="N909" s="21">
        <v>703</v>
      </c>
      <c r="O909" s="21">
        <v>54.682000000000002</v>
      </c>
      <c r="R909" s="21">
        <v>7580</v>
      </c>
      <c r="S909" s="21">
        <v>0.75</v>
      </c>
      <c r="T909" s="21">
        <v>0.05</v>
      </c>
      <c r="U909" s="21">
        <v>1499.6549</v>
      </c>
      <c r="V909" s="21">
        <v>703</v>
      </c>
      <c r="W909" s="21">
        <v>54.790399999999998</v>
      </c>
    </row>
    <row r="910" spans="2:23" x14ac:dyDescent="0.3">
      <c r="B910" s="21">
        <v>7780</v>
      </c>
      <c r="C910" s="21">
        <v>0.75</v>
      </c>
      <c r="D910" s="21">
        <v>0.05</v>
      </c>
      <c r="E910" s="21">
        <v>1486.2177999999999</v>
      </c>
      <c r="F910" s="21">
        <v>703</v>
      </c>
      <c r="G910" s="21">
        <v>53.907400000000003</v>
      </c>
      <c r="J910" s="21">
        <v>7780</v>
      </c>
      <c r="K910" s="21">
        <v>0.75</v>
      </c>
      <c r="L910" s="21">
        <v>0.05</v>
      </c>
      <c r="M910" s="21">
        <v>1499.6912</v>
      </c>
      <c r="N910" s="21">
        <v>703</v>
      </c>
      <c r="O910" s="21">
        <v>54.792900000000003</v>
      </c>
      <c r="R910" s="21">
        <v>7780</v>
      </c>
      <c r="S910" s="21">
        <v>0.75</v>
      </c>
      <c r="T910" s="21">
        <v>0.05</v>
      </c>
      <c r="U910" s="21">
        <v>1501.3157000000001</v>
      </c>
      <c r="V910" s="21">
        <v>703</v>
      </c>
      <c r="W910" s="21">
        <v>54.9009</v>
      </c>
    </row>
    <row r="911" spans="2:23" x14ac:dyDescent="0.3">
      <c r="B911" s="21">
        <v>7980</v>
      </c>
      <c r="C911" s="21">
        <v>0.75</v>
      </c>
      <c r="D911" s="21">
        <v>0.05</v>
      </c>
      <c r="E911" s="21">
        <v>1487.7380000000001</v>
      </c>
      <c r="F911" s="21">
        <v>703</v>
      </c>
      <c r="G911" s="21">
        <v>54.006300000000003</v>
      </c>
      <c r="J911" s="21">
        <v>7980</v>
      </c>
      <c r="K911" s="21">
        <v>0.75</v>
      </c>
      <c r="L911" s="21">
        <v>0.05</v>
      </c>
      <c r="M911" s="21">
        <v>1501.0998999999999</v>
      </c>
      <c r="N911" s="21">
        <v>703</v>
      </c>
      <c r="O911" s="21">
        <v>54.886499999999998</v>
      </c>
      <c r="R911" s="21">
        <v>7980</v>
      </c>
      <c r="S911" s="21">
        <v>0.75</v>
      </c>
      <c r="T911" s="21">
        <v>0.05</v>
      </c>
      <c r="U911" s="21">
        <v>1502.7121</v>
      </c>
      <c r="V911" s="21">
        <v>703</v>
      </c>
      <c r="W911" s="21">
        <v>54.994</v>
      </c>
    </row>
    <row r="912" spans="2:23" x14ac:dyDescent="0.3">
      <c r="B912" s="21">
        <v>8180</v>
      </c>
      <c r="C912" s="21">
        <v>0.75</v>
      </c>
      <c r="D912" s="21">
        <v>0.05</v>
      </c>
      <c r="E912" s="21">
        <v>1489.0401999999999</v>
      </c>
      <c r="F912" s="21">
        <v>703</v>
      </c>
      <c r="G912" s="21">
        <v>54.091299999999997</v>
      </c>
      <c r="J912" s="21">
        <v>8180</v>
      </c>
      <c r="K912" s="21">
        <v>0.75</v>
      </c>
      <c r="L912" s="21">
        <v>0.05</v>
      </c>
      <c r="M912" s="21">
        <v>1502.288</v>
      </c>
      <c r="N912" s="21">
        <v>703</v>
      </c>
      <c r="O912" s="21">
        <v>54.965699999999998</v>
      </c>
      <c r="R912" s="21">
        <v>8180</v>
      </c>
      <c r="S912" s="21">
        <v>0.75</v>
      </c>
      <c r="T912" s="21">
        <v>0.05</v>
      </c>
      <c r="U912" s="21">
        <v>1503.8851999999999</v>
      </c>
      <c r="V912" s="21">
        <v>703</v>
      </c>
      <c r="W912" s="21">
        <v>55.072400000000002</v>
      </c>
    </row>
    <row r="913" spans="2:23" x14ac:dyDescent="0.3">
      <c r="B913" s="21">
        <v>8380</v>
      </c>
      <c r="C913" s="21">
        <v>0.75</v>
      </c>
      <c r="D913" s="21">
        <v>0.05</v>
      </c>
      <c r="E913" s="21">
        <v>1490.1196</v>
      </c>
      <c r="F913" s="21">
        <v>703</v>
      </c>
      <c r="G913" s="21">
        <v>54.161799999999999</v>
      </c>
      <c r="J913" s="21">
        <v>8380</v>
      </c>
      <c r="K913" s="21">
        <v>0.75</v>
      </c>
      <c r="L913" s="21">
        <v>0.05</v>
      </c>
      <c r="M913" s="21">
        <v>1503.2882</v>
      </c>
      <c r="N913" s="21">
        <v>703</v>
      </c>
      <c r="O913" s="21">
        <v>55.032499999999999</v>
      </c>
      <c r="R913" s="21">
        <v>8380</v>
      </c>
      <c r="S913" s="21">
        <v>0.75</v>
      </c>
      <c r="T913" s="21">
        <v>0.05</v>
      </c>
      <c r="U913" s="21">
        <v>1504.8714</v>
      </c>
      <c r="V913" s="21">
        <v>703</v>
      </c>
      <c r="W913" s="21">
        <v>55.138399999999997</v>
      </c>
    </row>
    <row r="914" spans="2:23" x14ac:dyDescent="0.3">
      <c r="B914" s="21">
        <v>8400</v>
      </c>
      <c r="C914" s="21">
        <v>0.75</v>
      </c>
      <c r="D914" s="21">
        <v>0.05</v>
      </c>
      <c r="E914" s="21">
        <v>1490.2334000000001</v>
      </c>
      <c r="F914" s="21">
        <v>703</v>
      </c>
      <c r="G914" s="21">
        <v>54.1693</v>
      </c>
      <c r="J914" s="21">
        <v>8400</v>
      </c>
      <c r="K914" s="21">
        <v>0.75</v>
      </c>
      <c r="L914" s="21">
        <v>0.05</v>
      </c>
      <c r="M914" s="21">
        <v>1503.3927000000001</v>
      </c>
      <c r="N914" s="21">
        <v>703</v>
      </c>
      <c r="O914" s="21">
        <v>55.039499999999997</v>
      </c>
      <c r="R914" s="21">
        <v>8400</v>
      </c>
      <c r="S914" s="21">
        <v>0.75</v>
      </c>
      <c r="T914" s="21">
        <v>0.05</v>
      </c>
      <c r="U914" s="21">
        <v>1504.9699000000001</v>
      </c>
      <c r="V914" s="21">
        <v>703</v>
      </c>
      <c r="W914" s="21">
        <v>55.145000000000003</v>
      </c>
    </row>
    <row r="915" spans="2:23" x14ac:dyDescent="0.3">
      <c r="B915" s="21">
        <v>8600</v>
      </c>
      <c r="C915" s="21">
        <v>0.75</v>
      </c>
      <c r="D915" s="21">
        <v>0.05</v>
      </c>
      <c r="E915" s="21">
        <v>1483.0415</v>
      </c>
      <c r="F915" s="21">
        <v>703</v>
      </c>
      <c r="G915" s="21">
        <v>53.7014</v>
      </c>
      <c r="J915" s="21">
        <v>8600</v>
      </c>
      <c r="K915" s="21">
        <v>0.75</v>
      </c>
      <c r="L915" s="21">
        <v>0.05</v>
      </c>
      <c r="M915" s="21">
        <v>1492.577</v>
      </c>
      <c r="N915" s="21">
        <v>703</v>
      </c>
      <c r="O915" s="21">
        <v>54.322899999999997</v>
      </c>
      <c r="R915" s="21">
        <v>8600</v>
      </c>
      <c r="S915" s="21">
        <v>0.75</v>
      </c>
      <c r="T915" s="21">
        <v>0.05</v>
      </c>
      <c r="U915" s="21">
        <v>1493.6819</v>
      </c>
      <c r="V915" s="21">
        <v>703</v>
      </c>
      <c r="W915" s="21">
        <v>54.395499999999998</v>
      </c>
    </row>
    <row r="916" spans="2:23" x14ac:dyDescent="0.3">
      <c r="B916" s="21">
        <v>8800</v>
      </c>
      <c r="C916" s="21">
        <v>0.75</v>
      </c>
      <c r="D916" s="21">
        <v>0.05</v>
      </c>
      <c r="E916" s="21">
        <v>1475.0282999999999</v>
      </c>
      <c r="F916" s="21">
        <v>703</v>
      </c>
      <c r="G916" s="21">
        <v>53.186799999999998</v>
      </c>
      <c r="J916" s="21">
        <v>8800</v>
      </c>
      <c r="K916" s="21">
        <v>0.75</v>
      </c>
      <c r="L916" s="21">
        <v>0.05</v>
      </c>
      <c r="M916" s="21">
        <v>1481.3243</v>
      </c>
      <c r="N916" s="21">
        <v>703</v>
      </c>
      <c r="O916" s="21">
        <v>53.590600000000002</v>
      </c>
      <c r="R916" s="21">
        <v>8800</v>
      </c>
      <c r="S916" s="21">
        <v>0.75</v>
      </c>
      <c r="T916" s="21">
        <v>0.05</v>
      </c>
      <c r="U916" s="21">
        <v>1482.0164</v>
      </c>
      <c r="V916" s="21">
        <v>703</v>
      </c>
      <c r="W916" s="21">
        <v>53.635199999999998</v>
      </c>
    </row>
    <row r="917" spans="2:23" x14ac:dyDescent="0.3">
      <c r="B917" s="21">
        <v>9000</v>
      </c>
      <c r="C917" s="21">
        <v>0.75</v>
      </c>
      <c r="D917" s="21">
        <v>0.05</v>
      </c>
      <c r="E917" s="21">
        <v>1467.9763</v>
      </c>
      <c r="F917" s="21">
        <v>703</v>
      </c>
      <c r="G917" s="21">
        <v>52.739800000000002</v>
      </c>
      <c r="J917" s="21">
        <v>9000</v>
      </c>
      <c r="K917" s="21">
        <v>0.75</v>
      </c>
      <c r="L917" s="21">
        <v>0.05</v>
      </c>
      <c r="M917" s="21">
        <v>1471.4165</v>
      </c>
      <c r="N917" s="21">
        <v>703</v>
      </c>
      <c r="O917" s="21">
        <v>52.9572</v>
      </c>
      <c r="R917" s="21">
        <v>9000</v>
      </c>
      <c r="S917" s="21">
        <v>0.75</v>
      </c>
      <c r="T917" s="21">
        <v>0.05</v>
      </c>
      <c r="U917" s="21">
        <v>1471.7489</v>
      </c>
      <c r="V917" s="21">
        <v>703</v>
      </c>
      <c r="W917" s="21">
        <v>52.978299999999997</v>
      </c>
    </row>
    <row r="918" spans="2:23" x14ac:dyDescent="0.3">
      <c r="B918" s="21">
        <v>9200</v>
      </c>
      <c r="C918" s="21">
        <v>0.75</v>
      </c>
      <c r="D918" s="21">
        <v>0.05</v>
      </c>
      <c r="E918" s="21">
        <v>1461.8661999999999</v>
      </c>
      <c r="F918" s="21">
        <v>703</v>
      </c>
      <c r="G918" s="21">
        <v>52.356999999999999</v>
      </c>
      <c r="J918" s="21">
        <v>9200</v>
      </c>
      <c r="K918" s="21">
        <v>0.75</v>
      </c>
      <c r="L918" s="21">
        <v>0.05</v>
      </c>
      <c r="M918" s="21">
        <v>1462.8208999999999</v>
      </c>
      <c r="N918" s="21">
        <v>703</v>
      </c>
      <c r="O918" s="21">
        <v>52.416499999999999</v>
      </c>
      <c r="R918" s="21">
        <v>9200</v>
      </c>
      <c r="S918" s="21">
        <v>0.75</v>
      </c>
      <c r="T918" s="21">
        <v>0.05</v>
      </c>
      <c r="U918" s="21">
        <v>1462.8431</v>
      </c>
      <c r="V918" s="21">
        <v>703</v>
      </c>
      <c r="W918" s="21">
        <v>52.417900000000003</v>
      </c>
    </row>
    <row r="919" spans="2:23" x14ac:dyDescent="0.3">
      <c r="B919" s="21">
        <v>9400</v>
      </c>
      <c r="C919" s="21">
        <v>0.75</v>
      </c>
      <c r="D919" s="21">
        <v>0.05</v>
      </c>
      <c r="E919" s="21">
        <v>1456.5957000000001</v>
      </c>
      <c r="F919" s="21">
        <v>703</v>
      </c>
      <c r="G919" s="21">
        <v>52.030200000000001</v>
      </c>
      <c r="J919" s="21">
        <v>9400</v>
      </c>
      <c r="K919" s="21">
        <v>0.75</v>
      </c>
      <c r="L919" s="21">
        <v>0.05</v>
      </c>
      <c r="M919" s="21">
        <v>1455.3655000000001</v>
      </c>
      <c r="N919" s="21">
        <v>703</v>
      </c>
      <c r="O919" s="21">
        <v>51.9544</v>
      </c>
      <c r="R919" s="21">
        <v>9400</v>
      </c>
      <c r="S919" s="21">
        <v>0.75</v>
      </c>
      <c r="T919" s="21">
        <v>0.05</v>
      </c>
      <c r="U919" s="21">
        <v>1455.1242999999999</v>
      </c>
      <c r="V919" s="21">
        <v>703</v>
      </c>
      <c r="W919" s="21">
        <v>51.939599999999999</v>
      </c>
    </row>
    <row r="920" spans="2:23" x14ac:dyDescent="0.3">
      <c r="B920" s="21">
        <v>9600</v>
      </c>
      <c r="C920" s="21">
        <v>0.75</v>
      </c>
      <c r="D920" s="21">
        <v>0.05</v>
      </c>
      <c r="E920" s="21">
        <v>1452.0331000000001</v>
      </c>
      <c r="F920" s="21">
        <v>703</v>
      </c>
      <c r="G920" s="21">
        <v>51.749899999999997</v>
      </c>
      <c r="J920" s="21">
        <v>9600</v>
      </c>
      <c r="K920" s="21">
        <v>0.75</v>
      </c>
      <c r="L920" s="21">
        <v>0.05</v>
      </c>
      <c r="M920" s="21">
        <v>1448.9155000000001</v>
      </c>
      <c r="N920" s="21">
        <v>703</v>
      </c>
      <c r="O920" s="21">
        <v>51.559800000000003</v>
      </c>
      <c r="R920" s="21">
        <v>9600</v>
      </c>
      <c r="S920" s="21">
        <v>0.75</v>
      </c>
      <c r="T920" s="21">
        <v>0.05</v>
      </c>
      <c r="U920" s="21">
        <v>1448.4486999999999</v>
      </c>
      <c r="V920" s="21">
        <v>703</v>
      </c>
      <c r="W920" s="21">
        <v>51.531399999999998</v>
      </c>
    </row>
    <row r="921" spans="2:23" x14ac:dyDescent="0.3">
      <c r="B921" s="21">
        <v>9800</v>
      </c>
      <c r="C921" s="21">
        <v>0.75</v>
      </c>
      <c r="D921" s="21">
        <v>0.05</v>
      </c>
      <c r="E921" s="21">
        <v>1448.1178</v>
      </c>
      <c r="F921" s="21">
        <v>703</v>
      </c>
      <c r="G921" s="21">
        <v>51.511299999999999</v>
      </c>
      <c r="J921" s="21">
        <v>9800</v>
      </c>
      <c r="K921" s="21">
        <v>0.75</v>
      </c>
      <c r="L921" s="21">
        <v>0.05</v>
      </c>
      <c r="M921" s="21">
        <v>1443.3527999999999</v>
      </c>
      <c r="N921" s="21">
        <v>703</v>
      </c>
      <c r="O921" s="21">
        <v>51.223300000000002</v>
      </c>
      <c r="R921" s="21">
        <v>9800</v>
      </c>
      <c r="S921" s="21">
        <v>0.75</v>
      </c>
      <c r="T921" s="21">
        <v>0.05</v>
      </c>
      <c r="U921" s="21">
        <v>1442.6904</v>
      </c>
      <c r="V921" s="21">
        <v>703</v>
      </c>
      <c r="W921" s="21">
        <v>51.183500000000002</v>
      </c>
    </row>
    <row r="922" spans="2:23" x14ac:dyDescent="0.3">
      <c r="B922" s="21">
        <v>10000</v>
      </c>
      <c r="C922" s="21">
        <v>0.75</v>
      </c>
      <c r="D922" s="21">
        <v>0.05</v>
      </c>
      <c r="E922" s="21">
        <v>1444.7396000000001</v>
      </c>
      <c r="F922" s="21">
        <v>703</v>
      </c>
      <c r="G922" s="21">
        <v>51.306800000000003</v>
      </c>
      <c r="J922" s="21">
        <v>10000</v>
      </c>
      <c r="K922" s="21">
        <v>0.75</v>
      </c>
      <c r="L922" s="21">
        <v>0.05</v>
      </c>
      <c r="M922" s="21">
        <v>1438.5699</v>
      </c>
      <c r="N922" s="21">
        <v>703</v>
      </c>
      <c r="O922" s="21">
        <v>50.936900000000001</v>
      </c>
      <c r="R922" s="21">
        <v>10000</v>
      </c>
      <c r="S922" s="21">
        <v>0.75</v>
      </c>
      <c r="T922" s="21">
        <v>0.05</v>
      </c>
      <c r="U922" s="21">
        <v>1437.7411</v>
      </c>
      <c r="V922" s="21">
        <v>703</v>
      </c>
      <c r="W922" s="21">
        <v>50.887599999999999</v>
      </c>
    </row>
    <row r="923" spans="2:23" x14ac:dyDescent="0.3">
      <c r="B923" s="21">
        <v>10200</v>
      </c>
      <c r="C923" s="21">
        <v>0.75</v>
      </c>
      <c r="D923" s="21">
        <v>0.05</v>
      </c>
      <c r="E923" s="21">
        <v>1441.8523</v>
      </c>
      <c r="F923" s="21">
        <v>703</v>
      </c>
      <c r="G923" s="21">
        <v>51.133200000000002</v>
      </c>
      <c r="J923" s="21">
        <v>10200</v>
      </c>
      <c r="K923" s="21">
        <v>0.75</v>
      </c>
      <c r="L923" s="21">
        <v>0.05</v>
      </c>
      <c r="M923" s="21">
        <v>1434.4683</v>
      </c>
      <c r="N923" s="21">
        <v>703</v>
      </c>
      <c r="O923" s="21">
        <v>50.6935</v>
      </c>
      <c r="R923" s="21">
        <v>10200</v>
      </c>
      <c r="S923" s="21">
        <v>0.75</v>
      </c>
      <c r="T923" s="21">
        <v>0.05</v>
      </c>
      <c r="U923" s="21">
        <v>1433.491</v>
      </c>
      <c r="V923" s="21">
        <v>703</v>
      </c>
      <c r="W923" s="21">
        <v>50.635800000000003</v>
      </c>
    </row>
    <row r="924" spans="2:23" x14ac:dyDescent="0.3">
      <c r="B924" s="21">
        <v>10400</v>
      </c>
      <c r="C924" s="21">
        <v>0.75</v>
      </c>
      <c r="D924" s="21">
        <v>0.05</v>
      </c>
      <c r="E924" s="21">
        <v>1439.3838000000001</v>
      </c>
      <c r="F924" s="21">
        <v>703</v>
      </c>
      <c r="G924" s="21">
        <v>50.985500000000002</v>
      </c>
      <c r="J924" s="21">
        <v>10400</v>
      </c>
      <c r="K924" s="21">
        <v>0.75</v>
      </c>
      <c r="L924" s="21">
        <v>0.05</v>
      </c>
      <c r="M924" s="21">
        <v>1430.9457</v>
      </c>
      <c r="N924" s="21">
        <v>703</v>
      </c>
      <c r="O924" s="21">
        <v>50.485999999999997</v>
      </c>
      <c r="R924" s="21">
        <v>10400</v>
      </c>
      <c r="S924" s="21">
        <v>0.75</v>
      </c>
      <c r="T924" s="21">
        <v>0.05</v>
      </c>
      <c r="U924" s="21">
        <v>1429.8461</v>
      </c>
      <c r="V924" s="21">
        <v>703</v>
      </c>
      <c r="W924" s="21">
        <v>50.421599999999998</v>
      </c>
    </row>
    <row r="925" spans="2:23" x14ac:dyDescent="0.3">
      <c r="B925" s="21">
        <v>10600</v>
      </c>
      <c r="C925" s="21">
        <v>0.75</v>
      </c>
      <c r="D925" s="21">
        <v>0.05</v>
      </c>
      <c r="E925" s="21">
        <v>1437.2681</v>
      </c>
      <c r="F925" s="21">
        <v>703</v>
      </c>
      <c r="G925" s="21">
        <v>50.859400000000001</v>
      </c>
      <c r="J925" s="21">
        <v>10600</v>
      </c>
      <c r="K925" s="21">
        <v>0.75</v>
      </c>
      <c r="L925" s="21">
        <v>0.05</v>
      </c>
      <c r="M925" s="21">
        <v>1427.9229</v>
      </c>
      <c r="N925" s="21">
        <v>703</v>
      </c>
      <c r="O925" s="21">
        <v>50.309199999999997</v>
      </c>
      <c r="R925" s="21">
        <v>10600</v>
      </c>
      <c r="S925" s="21">
        <v>0.75</v>
      </c>
      <c r="T925" s="21">
        <v>0.05</v>
      </c>
      <c r="U925" s="21">
        <v>1426.7239999999999</v>
      </c>
      <c r="V925" s="21">
        <v>703</v>
      </c>
      <c r="W925" s="21">
        <v>50.239400000000003</v>
      </c>
    </row>
    <row r="926" spans="2:23" x14ac:dyDescent="0.3">
      <c r="B926" s="21">
        <v>10800</v>
      </c>
      <c r="C926" s="21">
        <v>0.75</v>
      </c>
      <c r="D926" s="21">
        <v>0.05</v>
      </c>
      <c r="E926" s="21">
        <v>1435.4751000000001</v>
      </c>
      <c r="F926" s="21">
        <v>703</v>
      </c>
      <c r="G926" s="21">
        <v>50.753100000000003</v>
      </c>
      <c r="J926" s="21">
        <v>10800</v>
      </c>
      <c r="K926" s="21">
        <v>0.75</v>
      </c>
      <c r="L926" s="21">
        <v>0.05</v>
      </c>
      <c r="M926" s="21">
        <v>1425.3454999999999</v>
      </c>
      <c r="N926" s="21">
        <v>703</v>
      </c>
      <c r="O926" s="21">
        <v>50.159300000000002</v>
      </c>
      <c r="R926" s="21">
        <v>10800</v>
      </c>
      <c r="S926" s="21">
        <v>0.75</v>
      </c>
      <c r="T926" s="21">
        <v>0.05</v>
      </c>
      <c r="U926" s="21">
        <v>1424.0509999999999</v>
      </c>
      <c r="V926" s="21">
        <v>703</v>
      </c>
      <c r="W926" s="21">
        <v>50.084400000000002</v>
      </c>
    </row>
    <row r="927" spans="2:23" x14ac:dyDescent="0.3">
      <c r="B927" s="21">
        <v>11000</v>
      </c>
      <c r="C927" s="21">
        <v>0.75</v>
      </c>
      <c r="D927" s="21">
        <v>0.05</v>
      </c>
      <c r="E927" s="21">
        <v>1433.9219000000001</v>
      </c>
      <c r="F927" s="21">
        <v>703</v>
      </c>
      <c r="G927" s="21">
        <v>50.661200000000001</v>
      </c>
      <c r="J927" s="21">
        <v>11000</v>
      </c>
      <c r="K927" s="21">
        <v>0.75</v>
      </c>
      <c r="L927" s="21">
        <v>0.05</v>
      </c>
      <c r="M927" s="21">
        <v>1423.1386</v>
      </c>
      <c r="N927" s="21">
        <v>703</v>
      </c>
      <c r="O927" s="21">
        <v>50.031599999999997</v>
      </c>
      <c r="R927" s="21">
        <v>11000</v>
      </c>
      <c r="S927" s="21">
        <v>0.75</v>
      </c>
      <c r="T927" s="21">
        <v>0.05</v>
      </c>
      <c r="U927" s="21">
        <v>1421.7639999999999</v>
      </c>
      <c r="V927" s="21">
        <v>703</v>
      </c>
      <c r="W927" s="21">
        <v>49.952399999999997</v>
      </c>
    </row>
    <row r="928" spans="2:23" x14ac:dyDescent="0.3">
      <c r="B928" s="21">
        <v>11200</v>
      </c>
      <c r="C928" s="21">
        <v>0.75</v>
      </c>
      <c r="D928" s="21">
        <v>0.05</v>
      </c>
      <c r="E928" s="21">
        <v>1432.6164000000001</v>
      </c>
      <c r="F928" s="21">
        <v>703</v>
      </c>
      <c r="G928" s="21">
        <v>50.584299999999999</v>
      </c>
      <c r="J928" s="21">
        <v>11200</v>
      </c>
      <c r="K928" s="21">
        <v>0.75</v>
      </c>
      <c r="L928" s="21">
        <v>0.05</v>
      </c>
      <c r="M928" s="21">
        <v>1421.2492999999999</v>
      </c>
      <c r="N928" s="21">
        <v>703</v>
      </c>
      <c r="O928" s="21">
        <v>49.922800000000002</v>
      </c>
      <c r="R928" s="21">
        <v>11200</v>
      </c>
      <c r="S928" s="21">
        <v>0.75</v>
      </c>
      <c r="T928" s="21">
        <v>0.05</v>
      </c>
      <c r="U928" s="21">
        <v>1419.8072</v>
      </c>
      <c r="V928" s="21">
        <v>703</v>
      </c>
      <c r="W928" s="21">
        <v>49.84</v>
      </c>
    </row>
    <row r="929" spans="2:23" x14ac:dyDescent="0.3">
      <c r="B929" s="21">
        <v>11400</v>
      </c>
      <c r="C929" s="21">
        <v>0.75</v>
      </c>
      <c r="D929" s="21">
        <v>0.05</v>
      </c>
      <c r="E929" s="21">
        <v>1431.4840999999999</v>
      </c>
      <c r="F929" s="21">
        <v>703</v>
      </c>
      <c r="G929" s="21">
        <v>50.517699999999998</v>
      </c>
      <c r="J929" s="21">
        <v>11400</v>
      </c>
      <c r="K929" s="21">
        <v>0.75</v>
      </c>
      <c r="L929" s="21">
        <v>0.05</v>
      </c>
      <c r="M929" s="21">
        <v>1419.6342</v>
      </c>
      <c r="N929" s="21">
        <v>703</v>
      </c>
      <c r="O929" s="21">
        <v>49.830100000000002</v>
      </c>
      <c r="R929" s="21">
        <v>11400</v>
      </c>
      <c r="S929" s="21">
        <v>0.75</v>
      </c>
      <c r="T929" s="21">
        <v>0.05</v>
      </c>
      <c r="U929" s="21">
        <v>1418.1334999999999</v>
      </c>
      <c r="V929" s="21">
        <v>703</v>
      </c>
      <c r="W929" s="21">
        <v>49.744199999999999</v>
      </c>
    </row>
    <row r="930" spans="2:23" x14ac:dyDescent="0.3">
      <c r="B930" s="21">
        <v>11600</v>
      </c>
      <c r="C930" s="21">
        <v>0.75</v>
      </c>
      <c r="D930" s="21">
        <v>0.05</v>
      </c>
      <c r="E930" s="21">
        <v>1430.5404000000001</v>
      </c>
      <c r="F930" s="21">
        <v>703</v>
      </c>
      <c r="G930" s="21">
        <v>50.462299999999999</v>
      </c>
      <c r="J930" s="21">
        <v>11600</v>
      </c>
      <c r="K930" s="21">
        <v>0.75</v>
      </c>
      <c r="L930" s="21">
        <v>0.05</v>
      </c>
      <c r="M930" s="21">
        <v>1418.2537</v>
      </c>
      <c r="N930" s="21">
        <v>703</v>
      </c>
      <c r="O930" s="21">
        <v>49.751100000000001</v>
      </c>
      <c r="R930" s="21">
        <v>11600</v>
      </c>
      <c r="S930" s="21">
        <v>0.75</v>
      </c>
      <c r="T930" s="21">
        <v>0.05</v>
      </c>
      <c r="U930" s="21">
        <v>1416.6960999999999</v>
      </c>
      <c r="V930" s="21">
        <v>703</v>
      </c>
      <c r="W930" s="21">
        <v>49.662199999999999</v>
      </c>
    </row>
    <row r="931" spans="2:23" x14ac:dyDescent="0.3">
      <c r="B931" s="21">
        <v>11800</v>
      </c>
      <c r="C931" s="21">
        <v>0.75</v>
      </c>
      <c r="D931" s="21">
        <v>0.05</v>
      </c>
      <c r="E931" s="21">
        <v>1429.7168999999999</v>
      </c>
      <c r="F931" s="21">
        <v>703</v>
      </c>
      <c r="G931" s="21">
        <v>50.414000000000001</v>
      </c>
      <c r="J931" s="21">
        <v>11800</v>
      </c>
      <c r="K931" s="21">
        <v>0.75</v>
      </c>
      <c r="L931" s="21">
        <v>0.05</v>
      </c>
      <c r="M931" s="21">
        <v>1417.0619999999999</v>
      </c>
      <c r="N931" s="21">
        <v>703</v>
      </c>
      <c r="O931" s="21">
        <v>49.683100000000003</v>
      </c>
      <c r="R931" s="21">
        <v>11800</v>
      </c>
      <c r="S931" s="21">
        <v>0.75</v>
      </c>
      <c r="T931" s="21">
        <v>0.05</v>
      </c>
      <c r="U931" s="21">
        <v>1415.4662000000001</v>
      </c>
      <c r="V931" s="21">
        <v>703</v>
      </c>
      <c r="W931" s="21">
        <v>49.592300000000002</v>
      </c>
    </row>
    <row r="932" spans="2:23" x14ac:dyDescent="0.3">
      <c r="B932" s="21">
        <v>12000</v>
      </c>
      <c r="C932" s="21">
        <v>0.75</v>
      </c>
      <c r="D932" s="21">
        <v>0.05</v>
      </c>
      <c r="E932" s="21">
        <v>1429.0346</v>
      </c>
      <c r="F932" s="21">
        <v>703</v>
      </c>
      <c r="G932" s="21">
        <v>50.374099999999999</v>
      </c>
      <c r="J932" s="21">
        <v>12000</v>
      </c>
      <c r="K932" s="21">
        <v>0.75</v>
      </c>
      <c r="L932" s="21">
        <v>0.05</v>
      </c>
      <c r="M932" s="21">
        <v>1416.0472</v>
      </c>
      <c r="N932" s="21">
        <v>703</v>
      </c>
      <c r="O932" s="21">
        <v>49.625300000000003</v>
      </c>
      <c r="R932" s="21">
        <v>12000</v>
      </c>
      <c r="S932" s="21">
        <v>0.75</v>
      </c>
      <c r="T932" s="21">
        <v>0.05</v>
      </c>
      <c r="U932" s="21">
        <v>1414.4142999999999</v>
      </c>
      <c r="V932" s="21">
        <v>703</v>
      </c>
      <c r="W932" s="21">
        <v>49.532600000000002</v>
      </c>
    </row>
    <row r="933" spans="2:23" x14ac:dyDescent="0.3">
      <c r="B933" s="21">
        <v>12200</v>
      </c>
      <c r="C933" s="21">
        <v>0.75</v>
      </c>
      <c r="D933" s="21">
        <v>0.05</v>
      </c>
      <c r="E933" s="21">
        <v>1428.4292</v>
      </c>
      <c r="F933" s="21">
        <v>703</v>
      </c>
      <c r="G933" s="21">
        <v>50.338799999999999</v>
      </c>
      <c r="J933" s="21">
        <v>12200</v>
      </c>
      <c r="K933" s="21">
        <v>0.75</v>
      </c>
      <c r="L933" s="21">
        <v>0.05</v>
      </c>
      <c r="M933" s="21">
        <v>1415.1839</v>
      </c>
      <c r="N933" s="21">
        <v>703</v>
      </c>
      <c r="O933" s="21">
        <v>49.576300000000003</v>
      </c>
      <c r="R933" s="21">
        <v>12200</v>
      </c>
      <c r="S933" s="21">
        <v>0.75</v>
      </c>
      <c r="T933" s="21">
        <v>0.05</v>
      </c>
      <c r="U933" s="21">
        <v>1413.5141000000001</v>
      </c>
      <c r="V933" s="21">
        <v>703</v>
      </c>
      <c r="W933" s="21">
        <v>49.481699999999996</v>
      </c>
    </row>
    <row r="934" spans="2:23" x14ac:dyDescent="0.3">
      <c r="B934" s="21">
        <v>12400</v>
      </c>
      <c r="C934" s="21">
        <v>0.75</v>
      </c>
      <c r="D934" s="21">
        <v>0.05</v>
      </c>
      <c r="E934" s="21">
        <v>1427.9262000000001</v>
      </c>
      <c r="F934" s="21">
        <v>703</v>
      </c>
      <c r="G934" s="21">
        <v>50.309399999999997</v>
      </c>
      <c r="J934" s="21">
        <v>12400</v>
      </c>
      <c r="K934" s="21">
        <v>0.75</v>
      </c>
      <c r="L934" s="21">
        <v>0.05</v>
      </c>
      <c r="M934" s="21">
        <v>1414.4386</v>
      </c>
      <c r="N934" s="21">
        <v>703</v>
      </c>
      <c r="O934" s="21">
        <v>49.533999999999999</v>
      </c>
      <c r="R934" s="21">
        <v>12400</v>
      </c>
      <c r="S934" s="21">
        <v>0.75</v>
      </c>
      <c r="T934" s="21">
        <v>0.05</v>
      </c>
      <c r="U934" s="21">
        <v>1412.7443000000001</v>
      </c>
      <c r="V934" s="21">
        <v>703</v>
      </c>
      <c r="W934" s="21">
        <v>49.438200000000002</v>
      </c>
    </row>
    <row r="935" spans="2:23" x14ac:dyDescent="0.3">
      <c r="B935" s="21">
        <v>12600</v>
      </c>
      <c r="C935" s="21">
        <v>0.75</v>
      </c>
      <c r="D935" s="21">
        <v>0.05</v>
      </c>
      <c r="E935" s="21">
        <v>1427.4917</v>
      </c>
      <c r="F935" s="21">
        <v>703</v>
      </c>
      <c r="G935" s="21">
        <v>50.284100000000002</v>
      </c>
      <c r="J935" s="21">
        <v>12600</v>
      </c>
      <c r="K935" s="21">
        <v>0.75</v>
      </c>
      <c r="L935" s="21">
        <v>0.05</v>
      </c>
      <c r="M935" s="21">
        <v>1413.7956999999999</v>
      </c>
      <c r="N935" s="21">
        <v>703</v>
      </c>
      <c r="O935" s="21">
        <v>49.497599999999998</v>
      </c>
      <c r="R935" s="21">
        <v>12600</v>
      </c>
      <c r="S935" s="21">
        <v>0.75</v>
      </c>
      <c r="T935" s="21">
        <v>0.05</v>
      </c>
      <c r="U935" s="21">
        <v>1412.0853999999999</v>
      </c>
      <c r="V935" s="21">
        <v>703</v>
      </c>
      <c r="W935" s="21">
        <v>49.401000000000003</v>
      </c>
    </row>
    <row r="936" spans="2:23" x14ac:dyDescent="0.3">
      <c r="B936" s="21">
        <v>12800</v>
      </c>
      <c r="C936" s="21">
        <v>0.75</v>
      </c>
      <c r="D936" s="21">
        <v>0.05</v>
      </c>
      <c r="E936" s="21">
        <v>1427.1231</v>
      </c>
      <c r="F936" s="21">
        <v>703</v>
      </c>
      <c r="G936" s="21">
        <v>50.262599999999999</v>
      </c>
      <c r="J936" s="21">
        <v>12800</v>
      </c>
      <c r="K936" s="21">
        <v>0.75</v>
      </c>
      <c r="L936" s="21">
        <v>0.05</v>
      </c>
      <c r="M936" s="21">
        <v>1413.2562</v>
      </c>
      <c r="N936" s="21">
        <v>703</v>
      </c>
      <c r="O936" s="21">
        <v>49.467100000000002</v>
      </c>
      <c r="R936" s="21">
        <v>12800</v>
      </c>
      <c r="S936" s="21">
        <v>0.75</v>
      </c>
      <c r="T936" s="21">
        <v>0.05</v>
      </c>
      <c r="U936" s="21">
        <v>1411.5222000000001</v>
      </c>
      <c r="V936" s="21">
        <v>703</v>
      </c>
      <c r="W936" s="21">
        <v>49.369300000000003</v>
      </c>
    </row>
    <row r="937" spans="2:23" x14ac:dyDescent="0.3">
      <c r="B937" s="21">
        <v>13000</v>
      </c>
      <c r="C937" s="21">
        <v>0.75</v>
      </c>
      <c r="D937" s="21">
        <v>0.05</v>
      </c>
      <c r="E937" s="21">
        <v>1426.8181</v>
      </c>
      <c r="F937" s="21">
        <v>703</v>
      </c>
      <c r="G937" s="21">
        <v>50.244900000000001</v>
      </c>
      <c r="J937" s="21">
        <v>13000</v>
      </c>
      <c r="K937" s="21">
        <v>0.75</v>
      </c>
      <c r="L937" s="21">
        <v>0.05</v>
      </c>
      <c r="M937" s="21">
        <v>1412.7928999999999</v>
      </c>
      <c r="N937" s="21">
        <v>703</v>
      </c>
      <c r="O937" s="21">
        <v>49.440899999999999</v>
      </c>
      <c r="R937" s="21">
        <v>13000</v>
      </c>
      <c r="S937" s="21">
        <v>0.75</v>
      </c>
      <c r="T937" s="21">
        <v>0.05</v>
      </c>
      <c r="U937" s="21">
        <v>1411.0401999999999</v>
      </c>
      <c r="V937" s="21">
        <v>703</v>
      </c>
      <c r="W937" s="21">
        <v>49.342199999999998</v>
      </c>
    </row>
    <row r="938" spans="2:23" x14ac:dyDescent="0.3">
      <c r="B938" s="21">
        <v>13200</v>
      </c>
      <c r="C938" s="21">
        <v>0.75</v>
      </c>
      <c r="D938" s="21">
        <v>0.05</v>
      </c>
      <c r="E938" s="21">
        <v>1426.5452</v>
      </c>
      <c r="F938" s="21">
        <v>703</v>
      </c>
      <c r="G938" s="21">
        <v>50.228999999999999</v>
      </c>
      <c r="J938" s="21">
        <v>13200</v>
      </c>
      <c r="K938" s="21">
        <v>0.75</v>
      </c>
      <c r="L938" s="21">
        <v>0.05</v>
      </c>
      <c r="M938" s="21">
        <v>1412.3966</v>
      </c>
      <c r="N938" s="21">
        <v>703</v>
      </c>
      <c r="O938" s="21">
        <v>49.418599999999998</v>
      </c>
      <c r="R938" s="21">
        <v>13200</v>
      </c>
      <c r="S938" s="21">
        <v>0.75</v>
      </c>
      <c r="T938" s="21">
        <v>0.05</v>
      </c>
      <c r="U938" s="21">
        <v>1410.6221</v>
      </c>
      <c r="V938" s="21">
        <v>703</v>
      </c>
      <c r="W938" s="21">
        <v>49.3187</v>
      </c>
    </row>
    <row r="939" spans="2:23" x14ac:dyDescent="0.3">
      <c r="B939" s="21">
        <v>13400</v>
      </c>
      <c r="C939" s="21">
        <v>0.75</v>
      </c>
      <c r="D939" s="21">
        <v>0.05</v>
      </c>
      <c r="E939" s="21">
        <v>1426.3334</v>
      </c>
      <c r="F939" s="21">
        <v>703</v>
      </c>
      <c r="G939" s="21">
        <v>50.216700000000003</v>
      </c>
      <c r="J939" s="21">
        <v>13400</v>
      </c>
      <c r="K939" s="21">
        <v>0.75</v>
      </c>
      <c r="L939" s="21">
        <v>0.05</v>
      </c>
      <c r="M939" s="21">
        <v>1412.0450000000001</v>
      </c>
      <c r="N939" s="21">
        <v>703</v>
      </c>
      <c r="O939" s="21">
        <v>49.398800000000001</v>
      </c>
      <c r="R939" s="21">
        <v>13400</v>
      </c>
      <c r="S939" s="21">
        <v>0.75</v>
      </c>
      <c r="T939" s="21">
        <v>0.05</v>
      </c>
      <c r="U939" s="21">
        <v>1410.2651000000001</v>
      </c>
      <c r="V939" s="21">
        <v>703</v>
      </c>
      <c r="W939" s="21">
        <v>49.2986</v>
      </c>
    </row>
    <row r="940" spans="2:23" x14ac:dyDescent="0.3">
      <c r="B940" s="21">
        <v>13600</v>
      </c>
      <c r="C940" s="21">
        <v>0.75</v>
      </c>
      <c r="D940" s="21">
        <v>0.05</v>
      </c>
      <c r="E940" s="21">
        <v>1426.1239</v>
      </c>
      <c r="F940" s="21">
        <v>703</v>
      </c>
      <c r="G940" s="21">
        <v>50.204500000000003</v>
      </c>
      <c r="J940" s="21">
        <v>13600</v>
      </c>
      <c r="K940" s="21">
        <v>0.75</v>
      </c>
      <c r="L940" s="21">
        <v>0.05</v>
      </c>
      <c r="M940" s="21">
        <v>1411.7470000000001</v>
      </c>
      <c r="N940" s="21">
        <v>703</v>
      </c>
      <c r="O940" s="21">
        <v>49.381999999999998</v>
      </c>
      <c r="R940" s="21">
        <v>13600</v>
      </c>
      <c r="S940" s="21">
        <v>0.75</v>
      </c>
      <c r="T940" s="21">
        <v>0.05</v>
      </c>
      <c r="U940" s="21">
        <v>1409.9595999999999</v>
      </c>
      <c r="V940" s="21">
        <v>703</v>
      </c>
      <c r="W940" s="21">
        <v>49.281500000000001</v>
      </c>
    </row>
    <row r="941" spans="2:23" x14ac:dyDescent="0.3">
      <c r="B941" s="21">
        <v>13800</v>
      </c>
      <c r="C941" s="21">
        <v>0.75</v>
      </c>
      <c r="D941" s="21">
        <v>0.05</v>
      </c>
      <c r="E941" s="21">
        <v>1425.9738</v>
      </c>
      <c r="F941" s="21">
        <v>703</v>
      </c>
      <c r="G941" s="21">
        <v>50.195799999999998</v>
      </c>
      <c r="J941" s="21">
        <v>13800</v>
      </c>
      <c r="K941" s="21">
        <v>0.75</v>
      </c>
      <c r="L941" s="21">
        <v>0.05</v>
      </c>
      <c r="M941" s="21">
        <v>1411.4970000000001</v>
      </c>
      <c r="N941" s="21">
        <v>703</v>
      </c>
      <c r="O941" s="21">
        <v>49.367899999999999</v>
      </c>
      <c r="R941" s="21">
        <v>13800</v>
      </c>
      <c r="S941" s="21">
        <v>0.75</v>
      </c>
      <c r="T941" s="21">
        <v>0.05</v>
      </c>
      <c r="U941" s="21">
        <v>1409.6994</v>
      </c>
      <c r="V941" s="21">
        <v>703</v>
      </c>
      <c r="W941" s="21">
        <v>49.2669</v>
      </c>
    </row>
    <row r="942" spans="2:23" x14ac:dyDescent="0.3">
      <c r="B942" s="21">
        <v>14000</v>
      </c>
      <c r="C942" s="21">
        <v>0.75</v>
      </c>
      <c r="D942" s="21">
        <v>0.05</v>
      </c>
      <c r="E942" s="21">
        <v>1425.825</v>
      </c>
      <c r="F942" s="21">
        <v>703</v>
      </c>
      <c r="G942" s="21">
        <v>50.187199999999997</v>
      </c>
      <c r="J942" s="21">
        <v>14000</v>
      </c>
      <c r="K942" s="21">
        <v>0.75</v>
      </c>
      <c r="L942" s="21">
        <v>0.05</v>
      </c>
      <c r="M942" s="21">
        <v>1411.2771</v>
      </c>
      <c r="N942" s="21">
        <v>703</v>
      </c>
      <c r="O942" s="21">
        <v>49.355499999999999</v>
      </c>
      <c r="R942" s="21">
        <v>14000</v>
      </c>
      <c r="S942" s="21">
        <v>0.75</v>
      </c>
      <c r="T942" s="21">
        <v>0.05</v>
      </c>
      <c r="U942" s="21">
        <v>1409.4772</v>
      </c>
      <c r="V942" s="21">
        <v>703</v>
      </c>
      <c r="W942" s="21">
        <v>49.254399999999997</v>
      </c>
    </row>
    <row r="943" spans="2:23" x14ac:dyDescent="0.3">
      <c r="B943" s="21">
        <v>14200</v>
      </c>
      <c r="C943" s="21">
        <v>0.75</v>
      </c>
      <c r="D943" s="21">
        <v>0.05</v>
      </c>
      <c r="E943" s="21">
        <v>1425.7072000000001</v>
      </c>
      <c r="F943" s="21">
        <v>703</v>
      </c>
      <c r="G943" s="21">
        <v>50.180300000000003</v>
      </c>
      <c r="J943" s="21">
        <v>14200</v>
      </c>
      <c r="K943" s="21">
        <v>0.75</v>
      </c>
      <c r="L943" s="21">
        <v>0.05</v>
      </c>
      <c r="M943" s="21">
        <v>1411.0832</v>
      </c>
      <c r="N943" s="21">
        <v>703</v>
      </c>
      <c r="O943" s="21">
        <v>49.3446</v>
      </c>
      <c r="R943" s="21">
        <v>14200</v>
      </c>
      <c r="S943" s="21">
        <v>0.75</v>
      </c>
      <c r="T943" s="21">
        <v>0.05</v>
      </c>
      <c r="U943" s="21">
        <v>1409.2819999999999</v>
      </c>
      <c r="V943" s="21">
        <v>703</v>
      </c>
      <c r="W943" s="21">
        <v>49.243499999999997</v>
      </c>
    </row>
    <row r="944" spans="2:23" x14ac:dyDescent="0.3">
      <c r="B944" s="21">
        <v>14400</v>
      </c>
      <c r="C944" s="21">
        <v>0.75</v>
      </c>
      <c r="D944" s="21">
        <v>0.05</v>
      </c>
      <c r="E944" s="21">
        <v>1425.6177</v>
      </c>
      <c r="F944" s="21">
        <v>703</v>
      </c>
      <c r="G944" s="21">
        <v>50.1751</v>
      </c>
      <c r="J944" s="21">
        <v>14400</v>
      </c>
      <c r="K944" s="21">
        <v>0.75</v>
      </c>
      <c r="L944" s="21">
        <v>0.05</v>
      </c>
      <c r="M944" s="21">
        <v>1410.9268999999999</v>
      </c>
      <c r="N944" s="21">
        <v>703</v>
      </c>
      <c r="O944" s="21">
        <v>49.335799999999999</v>
      </c>
      <c r="R944" s="21">
        <v>14400</v>
      </c>
      <c r="S944" s="21">
        <v>0.75</v>
      </c>
      <c r="T944" s="21">
        <v>0.05</v>
      </c>
      <c r="U944" s="21">
        <v>1409.1164000000001</v>
      </c>
      <c r="V944" s="21">
        <v>703</v>
      </c>
      <c r="W944" s="21">
        <v>49.234200000000001</v>
      </c>
    </row>
    <row r="945" spans="2:23" x14ac:dyDescent="0.3">
      <c r="B945" s="21">
        <v>14600</v>
      </c>
      <c r="C945" s="21">
        <v>0.75</v>
      </c>
      <c r="D945" s="21">
        <v>0.05</v>
      </c>
      <c r="E945" s="21">
        <v>1425.5287000000001</v>
      </c>
      <c r="F945" s="21">
        <v>703</v>
      </c>
      <c r="G945" s="21">
        <v>50.17</v>
      </c>
      <c r="J945" s="21">
        <v>14600</v>
      </c>
      <c r="K945" s="21">
        <v>0.75</v>
      </c>
      <c r="L945" s="21">
        <v>0.05</v>
      </c>
      <c r="M945" s="21">
        <v>1410.7924</v>
      </c>
      <c r="N945" s="21">
        <v>703</v>
      </c>
      <c r="O945" s="21">
        <v>49.328200000000002</v>
      </c>
      <c r="R945" s="21">
        <v>14600</v>
      </c>
      <c r="S945" s="21">
        <v>0.75</v>
      </c>
      <c r="T945" s="21">
        <v>0.05</v>
      </c>
      <c r="U945" s="21">
        <v>1408.9756</v>
      </c>
      <c r="V945" s="21">
        <v>703</v>
      </c>
      <c r="W945" s="21">
        <v>49.226300000000002</v>
      </c>
    </row>
    <row r="946" spans="2:23" x14ac:dyDescent="0.3">
      <c r="B946" s="21">
        <v>14800</v>
      </c>
      <c r="C946" s="21">
        <v>0.75</v>
      </c>
      <c r="D946" s="21">
        <v>0.05</v>
      </c>
      <c r="E946" s="21">
        <v>1425.4401</v>
      </c>
      <c r="F946" s="21">
        <v>703</v>
      </c>
      <c r="G946" s="21">
        <v>50.1648</v>
      </c>
      <c r="J946" s="21">
        <v>14800</v>
      </c>
      <c r="K946" s="21">
        <v>0.75</v>
      </c>
      <c r="L946" s="21">
        <v>0.05</v>
      </c>
      <c r="M946" s="21">
        <v>1410.6768</v>
      </c>
      <c r="N946" s="21">
        <v>703</v>
      </c>
      <c r="O946" s="21">
        <v>49.3217</v>
      </c>
      <c r="R946" s="21">
        <v>14800</v>
      </c>
      <c r="S946" s="21">
        <v>0.75</v>
      </c>
      <c r="T946" s="21">
        <v>0.05</v>
      </c>
      <c r="U946" s="21">
        <v>1408.8507</v>
      </c>
      <c r="V946" s="21">
        <v>703</v>
      </c>
      <c r="W946" s="21">
        <v>49.219299999999997</v>
      </c>
    </row>
    <row r="947" spans="2:23" x14ac:dyDescent="0.3">
      <c r="B947" s="21">
        <v>15000</v>
      </c>
      <c r="C947" s="21">
        <v>0.75</v>
      </c>
      <c r="D947" s="21">
        <v>0.05</v>
      </c>
      <c r="E947" s="21">
        <v>1425.3816999999999</v>
      </c>
      <c r="F947" s="21">
        <v>703</v>
      </c>
      <c r="G947" s="21">
        <v>50.1614</v>
      </c>
      <c r="J947" s="21">
        <v>15000</v>
      </c>
      <c r="K947" s="21">
        <v>0.75</v>
      </c>
      <c r="L947" s="21">
        <v>0.05</v>
      </c>
      <c r="M947" s="21">
        <v>1410.5800999999999</v>
      </c>
      <c r="N947" s="21">
        <v>703</v>
      </c>
      <c r="O947" s="21">
        <v>49.316299999999998</v>
      </c>
      <c r="R947" s="21">
        <v>15000</v>
      </c>
      <c r="S947" s="21">
        <v>0.75</v>
      </c>
      <c r="T947" s="21">
        <v>0.05</v>
      </c>
      <c r="U947" s="21">
        <v>1408.7456</v>
      </c>
      <c r="V947" s="21">
        <v>703</v>
      </c>
      <c r="W947" s="21">
        <v>49.213500000000003</v>
      </c>
    </row>
    <row r="948" spans="2:23" x14ac:dyDescent="0.3">
      <c r="B948" s="21">
        <v>15200</v>
      </c>
      <c r="C948" s="21">
        <v>0.75</v>
      </c>
      <c r="D948" s="21">
        <v>0.05</v>
      </c>
      <c r="E948" s="21">
        <v>1425.3235</v>
      </c>
      <c r="F948" s="21">
        <v>703</v>
      </c>
      <c r="G948" s="21">
        <v>50.158099999999997</v>
      </c>
      <c r="J948" s="21">
        <v>15200</v>
      </c>
      <c r="K948" s="21">
        <v>0.75</v>
      </c>
      <c r="L948" s="21">
        <v>0.05</v>
      </c>
      <c r="M948" s="21">
        <v>1410.4866999999999</v>
      </c>
      <c r="N948" s="21">
        <v>703</v>
      </c>
      <c r="O948" s="21">
        <v>49.311100000000003</v>
      </c>
      <c r="R948" s="21">
        <v>15200</v>
      </c>
      <c r="S948" s="21">
        <v>0.75</v>
      </c>
      <c r="T948" s="21">
        <v>0.05</v>
      </c>
      <c r="U948" s="21">
        <v>1408.6572000000001</v>
      </c>
      <c r="V948" s="21">
        <v>703</v>
      </c>
      <c r="W948" s="21">
        <v>49.208500000000001</v>
      </c>
    </row>
    <row r="949" spans="2:23" x14ac:dyDescent="0.3">
      <c r="B949" s="21">
        <v>15400</v>
      </c>
      <c r="C949" s="21">
        <v>0.75</v>
      </c>
      <c r="D949" s="21">
        <v>0.05</v>
      </c>
      <c r="E949" s="21">
        <v>1425.2655999999999</v>
      </c>
      <c r="F949" s="21">
        <v>703</v>
      </c>
      <c r="G949" s="21">
        <v>50.154699999999998</v>
      </c>
      <c r="J949" s="21">
        <v>15400</v>
      </c>
      <c r="K949" s="21">
        <v>0.75</v>
      </c>
      <c r="L949" s="21">
        <v>0.05</v>
      </c>
      <c r="M949" s="21">
        <v>1410.4092000000001</v>
      </c>
      <c r="N949" s="21">
        <v>703</v>
      </c>
      <c r="O949" s="21">
        <v>49.306699999999999</v>
      </c>
      <c r="R949" s="21">
        <v>15400</v>
      </c>
      <c r="S949" s="21">
        <v>0.75</v>
      </c>
      <c r="T949" s="21">
        <v>0.05</v>
      </c>
      <c r="U949" s="21">
        <v>1408.5776000000001</v>
      </c>
      <c r="V949" s="21">
        <v>703</v>
      </c>
      <c r="W949" s="21">
        <v>49.204099999999997</v>
      </c>
    </row>
    <row r="950" spans="2:23" x14ac:dyDescent="0.3">
      <c r="B950" s="21">
        <v>15600</v>
      </c>
      <c r="C950" s="21">
        <v>0.75</v>
      </c>
      <c r="D950" s="21">
        <v>0.05</v>
      </c>
      <c r="E950" s="21">
        <v>1425.2354</v>
      </c>
      <c r="F950" s="21">
        <v>703</v>
      </c>
      <c r="G950" s="21">
        <v>50.152900000000002</v>
      </c>
      <c r="J950" s="21">
        <v>15600</v>
      </c>
      <c r="K950" s="21">
        <v>0.75</v>
      </c>
      <c r="L950" s="21">
        <v>0.05</v>
      </c>
      <c r="M950" s="21">
        <v>1410.3481999999999</v>
      </c>
      <c r="N950" s="21">
        <v>703</v>
      </c>
      <c r="O950" s="21">
        <v>49.3033</v>
      </c>
      <c r="R950" s="21">
        <v>15600</v>
      </c>
      <c r="S950" s="21">
        <v>0.75</v>
      </c>
      <c r="T950" s="21">
        <v>0.05</v>
      </c>
      <c r="U950" s="21">
        <v>1408.5119999999999</v>
      </c>
      <c r="V950" s="21">
        <v>703</v>
      </c>
      <c r="W950" s="21">
        <v>49.200400000000002</v>
      </c>
    </row>
    <row r="951" spans="2:23" x14ac:dyDescent="0.3">
      <c r="B951" s="21">
        <v>15800</v>
      </c>
      <c r="C951" s="21">
        <v>0.75</v>
      </c>
      <c r="D951" s="21">
        <v>0.05</v>
      </c>
      <c r="E951" s="21">
        <v>1425.2052000000001</v>
      </c>
      <c r="F951" s="21">
        <v>703</v>
      </c>
      <c r="G951" s="21">
        <v>50.151200000000003</v>
      </c>
      <c r="J951" s="21">
        <v>15800</v>
      </c>
      <c r="K951" s="21">
        <v>0.75</v>
      </c>
      <c r="L951" s="21">
        <v>0.05</v>
      </c>
      <c r="M951" s="21">
        <v>1410.2887000000001</v>
      </c>
      <c r="N951" s="21">
        <v>703</v>
      </c>
      <c r="O951" s="21">
        <v>49.3</v>
      </c>
      <c r="R951" s="21">
        <v>15800</v>
      </c>
      <c r="S951" s="21">
        <v>0.75</v>
      </c>
      <c r="T951" s="21">
        <v>0.05</v>
      </c>
      <c r="U951" s="21">
        <v>1408.4525000000001</v>
      </c>
      <c r="V951" s="21">
        <v>703</v>
      </c>
      <c r="W951" s="21">
        <v>49.197099999999999</v>
      </c>
    </row>
    <row r="952" spans="2:23" x14ac:dyDescent="0.3">
      <c r="B952" s="21">
        <v>16000</v>
      </c>
      <c r="C952" s="21">
        <v>0.75</v>
      </c>
      <c r="D952" s="21">
        <v>0.05</v>
      </c>
      <c r="E952" s="21">
        <v>1425.1751999999999</v>
      </c>
      <c r="F952" s="21">
        <v>703</v>
      </c>
      <c r="G952" s="21">
        <v>50.149500000000003</v>
      </c>
      <c r="J952" s="21">
        <v>16000</v>
      </c>
      <c r="K952" s="21">
        <v>0.75</v>
      </c>
      <c r="L952" s="21">
        <v>0.05</v>
      </c>
      <c r="M952" s="21">
        <v>1410.2434000000001</v>
      </c>
      <c r="N952" s="21">
        <v>703</v>
      </c>
      <c r="O952" s="21">
        <v>49.297400000000003</v>
      </c>
      <c r="R952" s="21">
        <v>16000</v>
      </c>
      <c r="S952" s="21">
        <v>0.75</v>
      </c>
      <c r="T952" s="21">
        <v>0.05</v>
      </c>
      <c r="U952" s="21">
        <v>1408.4034999999999</v>
      </c>
      <c r="V952" s="21">
        <v>703</v>
      </c>
      <c r="W952" s="21">
        <v>49.194299999999998</v>
      </c>
    </row>
    <row r="953" spans="2:23" x14ac:dyDescent="0.3">
      <c r="B953" s="21">
        <v>16200</v>
      </c>
      <c r="C953" s="21">
        <v>0.75</v>
      </c>
      <c r="D953" s="21">
        <v>0.05</v>
      </c>
      <c r="E953" s="21">
        <v>1425.1451</v>
      </c>
      <c r="F953" s="21">
        <v>703</v>
      </c>
      <c r="G953" s="21">
        <v>50.1477</v>
      </c>
      <c r="J953" s="21">
        <v>16200</v>
      </c>
      <c r="K953" s="21">
        <v>0.75</v>
      </c>
      <c r="L953" s="21">
        <v>0.05</v>
      </c>
      <c r="M953" s="21">
        <v>1410.1990000000001</v>
      </c>
      <c r="N953" s="21">
        <v>703</v>
      </c>
      <c r="O953" s="21">
        <v>49.294899999999998</v>
      </c>
      <c r="R953" s="21">
        <v>16200</v>
      </c>
      <c r="S953" s="21">
        <v>0.75</v>
      </c>
      <c r="T953" s="21">
        <v>0.05</v>
      </c>
      <c r="U953" s="21">
        <v>1408.3586</v>
      </c>
      <c r="V953" s="21">
        <v>703</v>
      </c>
      <c r="W953" s="21">
        <v>49.191800000000001</v>
      </c>
    </row>
    <row r="954" spans="2:23" x14ac:dyDescent="0.3">
      <c r="B954" s="21">
        <v>16400</v>
      </c>
      <c r="C954" s="21">
        <v>0.75</v>
      </c>
      <c r="D954" s="21">
        <v>0.05</v>
      </c>
      <c r="E954" s="21">
        <v>1425.1152</v>
      </c>
      <c r="F954" s="21">
        <v>703</v>
      </c>
      <c r="G954" s="21">
        <v>50.146000000000001</v>
      </c>
      <c r="J954" s="21">
        <v>16400</v>
      </c>
      <c r="K954" s="21">
        <v>0.75</v>
      </c>
      <c r="L954" s="21">
        <v>0.05</v>
      </c>
      <c r="M954" s="21">
        <v>1410.1697999999999</v>
      </c>
      <c r="N954" s="21">
        <v>703</v>
      </c>
      <c r="O954" s="21">
        <v>49.293300000000002</v>
      </c>
      <c r="R954" s="21">
        <v>16400</v>
      </c>
      <c r="S954" s="21">
        <v>0.75</v>
      </c>
      <c r="T954" s="21">
        <v>0.05</v>
      </c>
      <c r="U954" s="21">
        <v>1408.3233</v>
      </c>
      <c r="V954" s="21">
        <v>703</v>
      </c>
      <c r="W954" s="21">
        <v>49.189799999999998</v>
      </c>
    </row>
    <row r="955" spans="2:23" x14ac:dyDescent="0.3">
      <c r="B955" s="21">
        <v>16600</v>
      </c>
      <c r="C955" s="21">
        <v>0.75</v>
      </c>
      <c r="D955" s="21">
        <v>0.05</v>
      </c>
      <c r="E955" s="21">
        <v>1425.114</v>
      </c>
      <c r="F955" s="21">
        <v>703</v>
      </c>
      <c r="G955" s="21">
        <v>50.145899999999997</v>
      </c>
      <c r="J955" s="21">
        <v>16600</v>
      </c>
      <c r="K955" s="21">
        <v>0.75</v>
      </c>
      <c r="L955" s="21">
        <v>0.05</v>
      </c>
      <c r="M955" s="21">
        <v>1410.1409000000001</v>
      </c>
      <c r="N955" s="21">
        <v>703</v>
      </c>
      <c r="O955" s="21">
        <v>49.291699999999999</v>
      </c>
      <c r="R955" s="21">
        <v>16600</v>
      </c>
      <c r="S955" s="21">
        <v>0.75</v>
      </c>
      <c r="T955" s="21">
        <v>0.05</v>
      </c>
      <c r="U955" s="21">
        <v>1408.2905000000001</v>
      </c>
      <c r="V955" s="21">
        <v>703</v>
      </c>
      <c r="W955" s="21">
        <v>49.188000000000002</v>
      </c>
    </row>
    <row r="956" spans="2:23" x14ac:dyDescent="0.3">
      <c r="B956" s="21">
        <v>16800</v>
      </c>
      <c r="C956" s="21">
        <v>0.75</v>
      </c>
      <c r="D956" s="21">
        <v>0.05</v>
      </c>
      <c r="E956" s="21">
        <v>1425.1129000000001</v>
      </c>
      <c r="F956" s="21">
        <v>703</v>
      </c>
      <c r="G956" s="21">
        <v>50.145800000000001</v>
      </c>
      <c r="J956" s="21">
        <v>16800</v>
      </c>
      <c r="K956" s="21">
        <v>0.75</v>
      </c>
      <c r="L956" s="21">
        <v>0.05</v>
      </c>
      <c r="M956" s="21">
        <v>1410.1123</v>
      </c>
      <c r="N956" s="21">
        <v>703</v>
      </c>
      <c r="O956" s="21">
        <v>49.290100000000002</v>
      </c>
      <c r="R956" s="21">
        <v>16800</v>
      </c>
      <c r="S956" s="21">
        <v>0.75</v>
      </c>
      <c r="T956" s="21">
        <v>0.05</v>
      </c>
      <c r="U956" s="21">
        <v>1408.2654</v>
      </c>
      <c r="V956" s="21">
        <v>703</v>
      </c>
      <c r="W956" s="21">
        <v>49.186599999999999</v>
      </c>
    </row>
    <row r="957" spans="2:23" x14ac:dyDescent="0.3">
      <c r="B957" s="21">
        <v>17000</v>
      </c>
      <c r="C957" s="21">
        <v>0.75</v>
      </c>
      <c r="D957" s="21">
        <v>0.05</v>
      </c>
      <c r="E957" s="21">
        <v>1425.1117999999999</v>
      </c>
      <c r="F957" s="21">
        <v>703</v>
      </c>
      <c r="G957" s="21">
        <v>50.145800000000001</v>
      </c>
      <c r="J957" s="21">
        <v>17000</v>
      </c>
      <c r="K957" s="21">
        <v>0.75</v>
      </c>
      <c r="L957" s="21">
        <v>0.05</v>
      </c>
      <c r="M957" s="21">
        <v>1410.0842</v>
      </c>
      <c r="N957" s="21">
        <v>703</v>
      </c>
      <c r="O957" s="21">
        <v>49.288499999999999</v>
      </c>
      <c r="R957" s="21">
        <v>17000</v>
      </c>
      <c r="S957" s="21">
        <v>0.75</v>
      </c>
      <c r="T957" s="21">
        <v>0.05</v>
      </c>
      <c r="U957" s="21">
        <v>1408.2417</v>
      </c>
      <c r="V957" s="21">
        <v>703</v>
      </c>
      <c r="W957" s="21">
        <v>49.185299999999998</v>
      </c>
    </row>
    <row r="958" spans="2:23" x14ac:dyDescent="0.3">
      <c r="B958" s="21">
        <v>17200</v>
      </c>
      <c r="C958" s="21">
        <v>0.75</v>
      </c>
      <c r="D958" s="21">
        <v>0.05</v>
      </c>
      <c r="E958" s="21">
        <v>1425.1107</v>
      </c>
      <c r="F958" s="21">
        <v>703</v>
      </c>
      <c r="G958" s="21">
        <v>50.145699999999998</v>
      </c>
      <c r="J958" s="21">
        <v>17200</v>
      </c>
      <c r="K958" s="21">
        <v>0.75</v>
      </c>
      <c r="L958" s="21">
        <v>0.05</v>
      </c>
      <c r="M958" s="21">
        <v>1410.0691999999999</v>
      </c>
      <c r="N958" s="21">
        <v>703</v>
      </c>
      <c r="O958" s="21">
        <v>49.287599999999998</v>
      </c>
      <c r="R958" s="21">
        <v>17200</v>
      </c>
      <c r="S958" s="21">
        <v>0.75</v>
      </c>
      <c r="T958" s="21">
        <v>0.05</v>
      </c>
      <c r="U958" s="21">
        <v>1408.2256</v>
      </c>
      <c r="V958" s="21">
        <v>703</v>
      </c>
      <c r="W958" s="21">
        <v>49.184399999999997</v>
      </c>
    </row>
    <row r="959" spans="2:23" x14ac:dyDescent="0.3">
      <c r="B959" s="21">
        <v>17400</v>
      </c>
      <c r="C959" s="21">
        <v>0.75</v>
      </c>
      <c r="D959" s="21">
        <v>0.05</v>
      </c>
      <c r="E959" s="21">
        <v>1425.1096</v>
      </c>
      <c r="F959" s="21">
        <v>703</v>
      </c>
      <c r="G959" s="21">
        <v>50.145699999999998</v>
      </c>
      <c r="J959" s="21">
        <v>17400</v>
      </c>
      <c r="K959" s="21">
        <v>0.75</v>
      </c>
      <c r="L959" s="21">
        <v>0.05</v>
      </c>
      <c r="M959" s="21">
        <v>1410.0544</v>
      </c>
      <c r="N959" s="21">
        <v>703</v>
      </c>
      <c r="O959" s="21">
        <v>49.286799999999999</v>
      </c>
      <c r="R959" s="21">
        <v>17400</v>
      </c>
      <c r="S959" s="21">
        <v>0.75</v>
      </c>
      <c r="T959" s="21">
        <v>0.05</v>
      </c>
      <c r="U959" s="21">
        <v>1408.2104999999999</v>
      </c>
      <c r="V959" s="21">
        <v>703</v>
      </c>
      <c r="W959" s="21">
        <v>49.183500000000002</v>
      </c>
    </row>
    <row r="960" spans="2:23" x14ac:dyDescent="0.3">
      <c r="B960" s="21">
        <v>17600</v>
      </c>
      <c r="C960" s="21">
        <v>0.75</v>
      </c>
      <c r="D960" s="21">
        <v>0.05</v>
      </c>
      <c r="E960" s="21">
        <v>1425.1085</v>
      </c>
      <c r="F960" s="21">
        <v>703</v>
      </c>
      <c r="G960" s="21">
        <v>50.145600000000002</v>
      </c>
      <c r="J960" s="21">
        <v>17600</v>
      </c>
      <c r="K960" s="21">
        <v>0.75</v>
      </c>
      <c r="L960" s="21">
        <v>0.05</v>
      </c>
      <c r="M960" s="21">
        <v>1410.0397</v>
      </c>
      <c r="N960" s="21">
        <v>703</v>
      </c>
      <c r="O960" s="21">
        <v>49.286000000000001</v>
      </c>
      <c r="R960" s="21">
        <v>17600</v>
      </c>
      <c r="S960" s="21">
        <v>0.75</v>
      </c>
      <c r="T960" s="21">
        <v>0.05</v>
      </c>
      <c r="U960" s="21">
        <v>1408.1958999999999</v>
      </c>
      <c r="V960" s="21">
        <v>703</v>
      </c>
      <c r="W960" s="21">
        <v>49.182699999999997</v>
      </c>
    </row>
    <row r="961" spans="2:23" x14ac:dyDescent="0.3">
      <c r="B961" s="21">
        <v>17800</v>
      </c>
      <c r="C961" s="21">
        <v>0.75</v>
      </c>
      <c r="D961" s="21">
        <v>0.05</v>
      </c>
      <c r="E961" s="21">
        <v>1425.1072999999999</v>
      </c>
      <c r="F961" s="21">
        <v>703</v>
      </c>
      <c r="G961" s="21">
        <v>50.145499999999998</v>
      </c>
      <c r="J961" s="21">
        <v>17800</v>
      </c>
      <c r="K961" s="21">
        <v>0.75</v>
      </c>
      <c r="L961" s="21">
        <v>0.05</v>
      </c>
      <c r="M961" s="21">
        <v>1410.0250000000001</v>
      </c>
      <c r="N961" s="21">
        <v>703</v>
      </c>
      <c r="O961" s="21">
        <v>49.285200000000003</v>
      </c>
      <c r="R961" s="21">
        <v>17800</v>
      </c>
      <c r="S961" s="21">
        <v>0.75</v>
      </c>
      <c r="T961" s="21">
        <v>0.05</v>
      </c>
      <c r="U961" s="21">
        <v>1408.182</v>
      </c>
      <c r="V961" s="21">
        <v>703</v>
      </c>
      <c r="W961" s="21">
        <v>49.182000000000002</v>
      </c>
    </row>
    <row r="962" spans="2:23" x14ac:dyDescent="0.3">
      <c r="B962" s="21">
        <v>18000</v>
      </c>
      <c r="C962" s="21">
        <v>0.75</v>
      </c>
      <c r="D962" s="21">
        <v>0.05</v>
      </c>
      <c r="E962" s="21">
        <v>1425.1061999999999</v>
      </c>
      <c r="F962" s="21">
        <v>703</v>
      </c>
      <c r="G962" s="21">
        <v>50.145499999999998</v>
      </c>
      <c r="J962" s="21">
        <v>18000</v>
      </c>
      <c r="K962" s="21">
        <v>0.75</v>
      </c>
      <c r="L962" s="21">
        <v>0.05</v>
      </c>
      <c r="M962" s="21">
        <v>1410.0105000000001</v>
      </c>
      <c r="N962" s="21">
        <v>703</v>
      </c>
      <c r="O962" s="21">
        <v>49.284300000000002</v>
      </c>
      <c r="R962" s="21">
        <v>18000</v>
      </c>
      <c r="S962" s="21">
        <v>0.75</v>
      </c>
      <c r="T962" s="21">
        <v>0.05</v>
      </c>
      <c r="U962" s="21">
        <v>1408.1742999999999</v>
      </c>
      <c r="V962" s="21">
        <v>703</v>
      </c>
      <c r="W962" s="21">
        <v>49.1815</v>
      </c>
    </row>
    <row r="963" spans="2:23" x14ac:dyDescent="0.3">
      <c r="B963" s="21">
        <v>18200</v>
      </c>
      <c r="C963" s="21">
        <v>0.75</v>
      </c>
      <c r="D963" s="21">
        <v>0.05</v>
      </c>
      <c r="E963" s="21">
        <v>1425.1051</v>
      </c>
      <c r="F963" s="21">
        <v>703</v>
      </c>
      <c r="G963" s="21">
        <v>50.145400000000002</v>
      </c>
      <c r="J963" s="21">
        <v>18200</v>
      </c>
      <c r="K963" s="21">
        <v>0.75</v>
      </c>
      <c r="L963" s="21">
        <v>0.05</v>
      </c>
      <c r="M963" s="21">
        <v>1409.9960000000001</v>
      </c>
      <c r="N963" s="21">
        <v>703</v>
      </c>
      <c r="O963" s="21">
        <v>49.283499999999997</v>
      </c>
      <c r="R963" s="21">
        <v>18200</v>
      </c>
      <c r="S963" s="21">
        <v>0.75</v>
      </c>
      <c r="T963" s="21">
        <v>0.05</v>
      </c>
      <c r="U963" s="21">
        <v>1408.1667</v>
      </c>
      <c r="V963" s="21">
        <v>703</v>
      </c>
      <c r="W963" s="21">
        <v>49.181100000000001</v>
      </c>
    </row>
    <row r="964" spans="2:23" x14ac:dyDescent="0.3">
      <c r="B964" s="21">
        <v>18400</v>
      </c>
      <c r="C964" s="21">
        <v>0.75</v>
      </c>
      <c r="D964" s="21">
        <v>0.05</v>
      </c>
      <c r="E964" s="21">
        <v>1425.104</v>
      </c>
      <c r="F964" s="21">
        <v>703</v>
      </c>
      <c r="G964" s="21">
        <v>50.145299999999999</v>
      </c>
      <c r="J964" s="21">
        <v>18400</v>
      </c>
      <c r="K964" s="21">
        <v>0.75</v>
      </c>
      <c r="L964" s="21">
        <v>0.05</v>
      </c>
      <c r="M964" s="21">
        <v>1409.9955</v>
      </c>
      <c r="N964" s="21">
        <v>703</v>
      </c>
      <c r="O964" s="21">
        <v>49.283499999999997</v>
      </c>
      <c r="R964" s="21">
        <v>18400</v>
      </c>
      <c r="S964" s="21">
        <v>0.75</v>
      </c>
      <c r="T964" s="21">
        <v>0.05</v>
      </c>
      <c r="U964" s="21">
        <v>1408.1594</v>
      </c>
      <c r="V964" s="21">
        <v>703</v>
      </c>
      <c r="W964" s="21">
        <v>49.180700000000002</v>
      </c>
    </row>
  </sheetData>
  <mergeCells count="27">
    <mergeCell ref="K542:M542"/>
    <mergeCell ref="K648:M648"/>
    <mergeCell ref="C15:E15"/>
    <mergeCell ref="C120:E120"/>
    <mergeCell ref="C225:E225"/>
    <mergeCell ref="C330:E330"/>
    <mergeCell ref="C436:E436"/>
    <mergeCell ref="C542:E542"/>
    <mergeCell ref="K15:M15"/>
    <mergeCell ref="K120:M120"/>
    <mergeCell ref="K225:M225"/>
    <mergeCell ref="K330:M330"/>
    <mergeCell ref="K436:M436"/>
    <mergeCell ref="K754:M754"/>
    <mergeCell ref="K861:M861"/>
    <mergeCell ref="C648:E648"/>
    <mergeCell ref="C754:E754"/>
    <mergeCell ref="C861:E861"/>
    <mergeCell ref="S861:U861"/>
    <mergeCell ref="S15:U15"/>
    <mergeCell ref="S120:U120"/>
    <mergeCell ref="S225:U225"/>
    <mergeCell ref="S330:U330"/>
    <mergeCell ref="S436:U436"/>
    <mergeCell ref="S542:U542"/>
    <mergeCell ref="S648:U648"/>
    <mergeCell ref="S754:U754"/>
  </mergeCells>
  <dataValidations count="2">
    <dataValidation type="list" allowBlank="1" showInputMessage="1" showErrorMessage="1" sqref="C334 C652 C440 C19 C124 C229 C546 C758 C865 K334 K652 K440 K19 K124 K229 K546 K758 K865 S334 S652 S440 S19 S124 S229 S546 S758 S865">
      <formula1>$H$3:$H$6</formula1>
    </dataValidation>
    <dataValidation type="list" allowBlank="1" showInputMessage="1" showErrorMessage="1" sqref="C336 C654 C442 C21 C126 C231 C548 C760 C867 K336 K654 K442 K21 K126 K231 K548 K760 K867 S336 S654 S442 S21 S126 S231 S548 S760 S867">
      <formula1>$J$4:$J$12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>
    <tabColor rgb="FFFF0000"/>
  </sheetPr>
  <dimension ref="B2:BC132"/>
  <sheetViews>
    <sheetView showGridLines="0" topLeftCell="E1" workbookViewId="0">
      <selection activeCell="B2" sqref="B2:I12"/>
    </sheetView>
  </sheetViews>
  <sheetFormatPr defaultRowHeight="15.6" x14ac:dyDescent="0.3"/>
  <cols>
    <col min="2" max="2" width="7.796875" bestFit="1" customWidth="1"/>
    <col min="3" max="3" width="15.5" bestFit="1" customWidth="1"/>
    <col min="4" max="4" width="13.69921875" bestFit="1" customWidth="1"/>
    <col min="5" max="5" width="3.3984375" bestFit="1" customWidth="1"/>
    <col min="6" max="6" width="4.69921875" bestFit="1" customWidth="1"/>
    <col min="7" max="9" width="7.3984375" bestFit="1" customWidth="1"/>
    <col min="10" max="10" width="7.3984375" customWidth="1"/>
    <col min="11" max="11" width="4.69921875" bestFit="1" customWidth="1"/>
    <col min="12" max="12" width="15.5" bestFit="1" customWidth="1"/>
    <col min="13" max="13" width="13.69921875" bestFit="1" customWidth="1"/>
    <col min="14" max="14" width="1.8984375" bestFit="1" customWidth="1"/>
    <col min="15" max="15" width="4.69921875" bestFit="1" customWidth="1"/>
    <col min="16" max="19" width="7.3984375" customWidth="1"/>
    <col min="20" max="20" width="9.296875" style="56" customWidth="1"/>
    <col min="21" max="21" width="15.5" bestFit="1" customWidth="1"/>
    <col min="22" max="22" width="13.69921875" bestFit="1" customWidth="1"/>
    <col min="23" max="23" width="2.8984375" bestFit="1" customWidth="1"/>
    <col min="24" max="24" width="6.3984375" bestFit="1" customWidth="1"/>
    <col min="25" max="27" width="7.3984375" bestFit="1" customWidth="1"/>
    <col min="28" max="28" width="7.296875" customWidth="1"/>
    <col min="30" max="30" width="6.3984375" style="56" bestFit="1" customWidth="1"/>
    <col min="31" max="31" width="15.5" bestFit="1" customWidth="1"/>
    <col min="32" max="32" width="13.69921875" bestFit="1" customWidth="1"/>
    <col min="33" max="33" width="2.8984375" bestFit="1" customWidth="1"/>
    <col min="34" max="34" width="4.69921875" bestFit="1" customWidth="1"/>
    <col min="35" max="37" width="7.3984375" bestFit="1" customWidth="1"/>
    <col min="39" max="39" width="6.3984375" style="56" bestFit="1" customWidth="1"/>
    <col min="40" max="40" width="15.5" bestFit="1" customWidth="1"/>
    <col min="41" max="41" width="13.69921875" bestFit="1" customWidth="1"/>
    <col min="42" max="42" width="2.8984375" bestFit="1" customWidth="1"/>
    <col min="43" max="43" width="4.69921875" bestFit="1" customWidth="1"/>
    <col min="44" max="46" width="7.3984375" bestFit="1" customWidth="1"/>
    <col min="48" max="48" width="6.3984375" style="56" bestFit="1" customWidth="1"/>
    <col min="49" max="49" width="15.5" bestFit="1" customWidth="1"/>
    <col min="50" max="50" width="13.69921875" bestFit="1" customWidth="1"/>
    <col min="51" max="51" width="3.8984375" bestFit="1" customWidth="1"/>
    <col min="52" max="52" width="4.69921875" bestFit="1" customWidth="1"/>
    <col min="53" max="55" width="7.3984375" bestFit="1" customWidth="1"/>
  </cols>
  <sheetData>
    <row r="2" spans="2:55" ht="16.2" thickBot="1" x14ac:dyDescent="0.35">
      <c r="C2" s="44" t="s">
        <v>19</v>
      </c>
      <c r="D2" s="44"/>
      <c r="E2" s="43" t="str">
        <f>"TDMA with ADI " &amp; D4 &amp; "x" &amp; E4 &amp; " - " &amp; D5 &amp; "s"</f>
        <v>TDMA with ADI 3x3 - 200s</v>
      </c>
      <c r="F2" s="43"/>
      <c r="G2" s="43"/>
      <c r="H2" s="43"/>
      <c r="I2" s="43"/>
      <c r="J2" s="41"/>
      <c r="L2" s="44" t="s">
        <v>19</v>
      </c>
      <c r="M2" s="44"/>
      <c r="N2" s="43" t="str">
        <f>"TDMA with ADI " &amp; M4 &amp; "x" &amp; N4 &amp; " - " &amp; M5 &amp; "s"</f>
        <v>TDMA with ADI 7x7 - 200s</v>
      </c>
      <c r="O2" s="43"/>
      <c r="P2" s="43"/>
      <c r="Q2" s="43"/>
      <c r="R2" s="43"/>
      <c r="S2" s="41"/>
      <c r="U2" s="44" t="s">
        <v>19</v>
      </c>
      <c r="V2" s="44"/>
      <c r="W2" s="43" t="str">
        <f>"TDMA with ADI " &amp; V4 &amp; "x" &amp; W4 &amp; " - " &amp; V5 &amp; "s"</f>
        <v>TDMA with ADI 15x15 - 200s</v>
      </c>
      <c r="X2" s="43"/>
      <c r="Y2" s="43"/>
      <c r="Z2" s="43"/>
      <c r="AA2" s="43"/>
      <c r="AB2" s="41"/>
      <c r="AE2" s="44" t="s">
        <v>19</v>
      </c>
      <c r="AF2" s="44"/>
      <c r="AG2" s="43" t="str">
        <f>"TDMA with ADI " &amp; AF4 &amp; "x" &amp; AG4 &amp; " - " &amp; AF5 &amp; "s"</f>
        <v>TDMA with ADI 31x31 - 200s</v>
      </c>
      <c r="AH2" s="43"/>
      <c r="AI2" s="43"/>
      <c r="AJ2" s="43"/>
      <c r="AK2" s="43"/>
      <c r="AN2" s="44" t="s">
        <v>19</v>
      </c>
      <c r="AO2" s="44"/>
      <c r="AP2" s="43" t="str">
        <f>"TDMA with ADI " &amp; AO4 &amp; "x" &amp; AP4 &amp; " - " &amp; AO5 &amp; "s"</f>
        <v>TDMA with ADI 61x61 - 200s</v>
      </c>
      <c r="AQ2" s="43"/>
      <c r="AR2" s="43"/>
      <c r="AS2" s="43"/>
      <c r="AT2" s="43"/>
      <c r="AW2" s="44" t="s">
        <v>19</v>
      </c>
      <c r="AX2" s="44"/>
      <c r="AY2" s="43" t="str">
        <f>"TDMA with ADI " &amp; AX4 &amp; "x" &amp; AY4 &amp; " - " &amp; AX5 &amp; "s"</f>
        <v>TDMA with ADI 121x121 - 200s</v>
      </c>
      <c r="AZ2" s="43"/>
      <c r="BA2" s="43"/>
      <c r="BB2" s="43"/>
      <c r="BC2" s="43"/>
    </row>
    <row r="3" spans="2:55" x14ac:dyDescent="0.3">
      <c r="C3" s="3"/>
      <c r="D3" s="31" t="s">
        <v>6</v>
      </c>
      <c r="E3" s="30" t="s">
        <v>7</v>
      </c>
      <c r="L3" s="3"/>
      <c r="M3" s="31" t="s">
        <v>6</v>
      </c>
      <c r="N3" s="30" t="s">
        <v>7</v>
      </c>
      <c r="U3" s="3"/>
      <c r="V3" s="31" t="s">
        <v>6</v>
      </c>
      <c r="W3" s="30" t="s">
        <v>7</v>
      </c>
      <c r="AE3" s="3"/>
      <c r="AF3" s="31" t="s">
        <v>6</v>
      </c>
      <c r="AG3" s="30" t="s">
        <v>7</v>
      </c>
      <c r="AN3" s="3"/>
      <c r="AO3" s="31" t="s">
        <v>6</v>
      </c>
      <c r="AP3" s="30" t="s">
        <v>7</v>
      </c>
      <c r="AW3" s="3"/>
      <c r="AX3" s="31" t="s">
        <v>6</v>
      </c>
      <c r="AY3" s="30" t="s">
        <v>7</v>
      </c>
    </row>
    <row r="4" spans="2:55" ht="16.2" thickBot="1" x14ac:dyDescent="0.35">
      <c r="C4" s="25" t="s">
        <v>13</v>
      </c>
      <c r="D4" s="33">
        <v>3</v>
      </c>
      <c r="E4" s="34">
        <v>3</v>
      </c>
      <c r="L4" s="25" t="s">
        <v>13</v>
      </c>
      <c r="M4" s="33">
        <v>7</v>
      </c>
      <c r="N4" s="34">
        <v>7</v>
      </c>
      <c r="U4" s="25" t="s">
        <v>13</v>
      </c>
      <c r="V4" s="33">
        <v>15</v>
      </c>
      <c r="W4" s="34">
        <v>15</v>
      </c>
      <c r="AE4" s="25" t="s">
        <v>13</v>
      </c>
      <c r="AF4" s="33">
        <v>31</v>
      </c>
      <c r="AG4" s="34">
        <v>31</v>
      </c>
      <c r="AN4" s="25" t="s">
        <v>13</v>
      </c>
      <c r="AO4" s="33">
        <v>61</v>
      </c>
      <c r="AP4" s="34">
        <v>61</v>
      </c>
      <c r="AW4" s="25" t="s">
        <v>13</v>
      </c>
      <c r="AX4" s="33">
        <v>121</v>
      </c>
      <c r="AY4" s="34">
        <v>121</v>
      </c>
    </row>
    <row r="5" spans="2:55" x14ac:dyDescent="0.3">
      <c r="C5" s="26" t="s">
        <v>14</v>
      </c>
      <c r="D5" s="35">
        <v>200</v>
      </c>
      <c r="L5" s="26" t="s">
        <v>14</v>
      </c>
      <c r="M5" s="35">
        <v>200</v>
      </c>
      <c r="U5" s="26" t="s">
        <v>14</v>
      </c>
      <c r="V5" s="35">
        <v>200</v>
      </c>
      <c r="AE5" s="26" t="s">
        <v>14</v>
      </c>
      <c r="AF5" s="35">
        <v>200</v>
      </c>
      <c r="AN5" s="26" t="s">
        <v>14</v>
      </c>
      <c r="AO5" s="35">
        <v>200</v>
      </c>
      <c r="AW5" s="26" t="s">
        <v>14</v>
      </c>
      <c r="AX5" s="35">
        <v>200</v>
      </c>
    </row>
    <row r="6" spans="2:55" x14ac:dyDescent="0.3">
      <c r="C6" s="26" t="s">
        <v>15</v>
      </c>
      <c r="D6" s="21" t="s">
        <v>12</v>
      </c>
      <c r="L6" s="26" t="s">
        <v>15</v>
      </c>
      <c r="M6" s="21" t="s">
        <v>12</v>
      </c>
      <c r="U6" s="26" t="s">
        <v>15</v>
      </c>
      <c r="V6" s="21" t="s">
        <v>12</v>
      </c>
      <c r="AE6" s="26" t="s">
        <v>15</v>
      </c>
      <c r="AF6" s="21" t="s">
        <v>12</v>
      </c>
      <c r="AN6" s="26" t="s">
        <v>15</v>
      </c>
      <c r="AO6" s="21" t="s">
        <v>12</v>
      </c>
      <c r="AW6" s="26" t="s">
        <v>15</v>
      </c>
      <c r="AX6" s="21" t="s">
        <v>12</v>
      </c>
    </row>
    <row r="7" spans="2:55" x14ac:dyDescent="0.3">
      <c r="C7" s="26" t="s">
        <v>16</v>
      </c>
      <c r="D7" s="40">
        <v>1E-3</v>
      </c>
      <c r="L7" s="26" t="s">
        <v>16</v>
      </c>
      <c r="M7" s="40">
        <v>1E-3</v>
      </c>
      <c r="U7" s="26" t="s">
        <v>16</v>
      </c>
      <c r="V7" s="40">
        <v>1E-3</v>
      </c>
      <c r="AE7" s="26" t="s">
        <v>16</v>
      </c>
      <c r="AF7" s="40">
        <v>1E-3</v>
      </c>
      <c r="AN7" s="26" t="s">
        <v>16</v>
      </c>
      <c r="AO7" s="40">
        <v>1E-3</v>
      </c>
      <c r="AW7" s="26" t="s">
        <v>16</v>
      </c>
      <c r="AX7" s="40">
        <v>1E-3</v>
      </c>
    </row>
    <row r="9" spans="2:55" x14ac:dyDescent="0.3">
      <c r="C9" s="20" t="s">
        <v>23</v>
      </c>
      <c r="D9" s="20" t="s">
        <v>25</v>
      </c>
      <c r="F9" s="20"/>
      <c r="G9" s="20" t="s">
        <v>26</v>
      </c>
      <c r="H9" s="20" t="s">
        <v>27</v>
      </c>
      <c r="I9" s="20" t="s">
        <v>28</v>
      </c>
      <c r="J9" s="13"/>
      <c r="L9" s="20" t="s">
        <v>23</v>
      </c>
      <c r="M9" s="20" t="s">
        <v>25</v>
      </c>
      <c r="O9" s="20"/>
      <c r="P9" s="20" t="s">
        <v>26</v>
      </c>
      <c r="Q9" s="20" t="s">
        <v>27</v>
      </c>
      <c r="R9" s="20" t="s">
        <v>28</v>
      </c>
      <c r="S9" s="13"/>
      <c r="U9" s="20" t="s">
        <v>23</v>
      </c>
      <c r="V9" s="20" t="s">
        <v>25</v>
      </c>
      <c r="X9" s="20"/>
      <c r="Y9" s="20" t="s">
        <v>26</v>
      </c>
      <c r="Z9" s="20" t="s">
        <v>27</v>
      </c>
      <c r="AA9" s="20" t="s">
        <v>28</v>
      </c>
      <c r="AB9" s="13"/>
      <c r="AE9" s="20" t="s">
        <v>23</v>
      </c>
      <c r="AF9" s="20" t="s">
        <v>25</v>
      </c>
      <c r="AH9" s="20"/>
      <c r="AI9" s="20" t="s">
        <v>26</v>
      </c>
      <c r="AJ9" s="20" t="s">
        <v>27</v>
      </c>
      <c r="AK9" s="20" t="s">
        <v>28</v>
      </c>
      <c r="AN9" s="20" t="s">
        <v>23</v>
      </c>
      <c r="AO9" s="20" t="s">
        <v>25</v>
      </c>
      <c r="AQ9" s="20"/>
      <c r="AR9" s="20" t="s">
        <v>26</v>
      </c>
      <c r="AS9" s="20" t="s">
        <v>27</v>
      </c>
      <c r="AT9" s="20" t="s">
        <v>28</v>
      </c>
      <c r="AW9" s="20" t="s">
        <v>23</v>
      </c>
      <c r="AX9" s="20" t="s">
        <v>25</v>
      </c>
      <c r="AZ9" s="20"/>
      <c r="BA9" s="20" t="s">
        <v>26</v>
      </c>
      <c r="BB9" s="20" t="s">
        <v>27</v>
      </c>
      <c r="BC9" s="20" t="s">
        <v>28</v>
      </c>
    </row>
    <row r="11" spans="2:55" x14ac:dyDescent="0.3">
      <c r="B11" s="22" t="s">
        <v>2</v>
      </c>
      <c r="C11" s="22" t="s">
        <v>24</v>
      </c>
      <c r="D11" s="22" t="s">
        <v>24</v>
      </c>
      <c r="F11" s="22" t="s">
        <v>1</v>
      </c>
      <c r="G11" s="22" t="s">
        <v>24</v>
      </c>
      <c r="H11" s="22" t="s">
        <v>24</v>
      </c>
      <c r="I11" s="22" t="s">
        <v>24</v>
      </c>
      <c r="J11" s="41"/>
      <c r="K11" s="22" t="s">
        <v>2</v>
      </c>
      <c r="L11" s="22" t="s">
        <v>24</v>
      </c>
      <c r="M11" s="22" t="s">
        <v>24</v>
      </c>
      <c r="O11" s="22" t="s">
        <v>1</v>
      </c>
      <c r="P11" s="22" t="s">
        <v>24</v>
      </c>
      <c r="Q11" s="22" t="s">
        <v>24</v>
      </c>
      <c r="R11" s="22" t="s">
        <v>24</v>
      </c>
      <c r="S11" s="41"/>
      <c r="T11" s="40" t="s">
        <v>2</v>
      </c>
      <c r="U11" s="22" t="s">
        <v>24</v>
      </c>
      <c r="V11" s="22" t="s">
        <v>24</v>
      </c>
      <c r="X11" s="22" t="s">
        <v>1</v>
      </c>
      <c r="Y11" s="22" t="s">
        <v>24</v>
      </c>
      <c r="Z11" s="22" t="s">
        <v>24</v>
      </c>
      <c r="AA11" s="22" t="s">
        <v>24</v>
      </c>
      <c r="AB11" s="41"/>
      <c r="AD11" s="40" t="s">
        <v>2</v>
      </c>
      <c r="AE11" s="22" t="s">
        <v>24</v>
      </c>
      <c r="AF11" s="22" t="s">
        <v>24</v>
      </c>
      <c r="AH11" s="22" t="s">
        <v>1</v>
      </c>
      <c r="AI11" s="22" t="s">
        <v>24</v>
      </c>
      <c r="AJ11" s="22" t="s">
        <v>24</v>
      </c>
      <c r="AK11" s="22" t="s">
        <v>24</v>
      </c>
      <c r="AM11" s="40" t="s">
        <v>2</v>
      </c>
      <c r="AN11" s="22" t="s">
        <v>24</v>
      </c>
      <c r="AO11" s="22" t="s">
        <v>24</v>
      </c>
      <c r="AQ11" s="22" t="s">
        <v>1</v>
      </c>
      <c r="AR11" s="22" t="s">
        <v>24</v>
      </c>
      <c r="AS11" s="22" t="s">
        <v>24</v>
      </c>
      <c r="AT11" s="22" t="s">
        <v>24</v>
      </c>
      <c r="AV11" s="40" t="s">
        <v>2</v>
      </c>
      <c r="AW11" s="22" t="s">
        <v>24</v>
      </c>
      <c r="AX11" s="22" t="s">
        <v>24</v>
      </c>
      <c r="AZ11" s="22" t="s">
        <v>1</v>
      </c>
      <c r="BA11" s="22" t="s">
        <v>24</v>
      </c>
      <c r="BB11" s="22" t="s">
        <v>24</v>
      </c>
      <c r="BC11" s="22" t="s">
        <v>24</v>
      </c>
    </row>
    <row r="12" spans="2:55" x14ac:dyDescent="0.3">
      <c r="B12" s="22">
        <v>0</v>
      </c>
      <c r="C12" s="22"/>
      <c r="D12" s="22">
        <v>947.69839999999999</v>
      </c>
      <c r="F12" s="22">
        <v>0</v>
      </c>
      <c r="G12" s="22"/>
      <c r="H12" s="22">
        <v>934.53689999999995</v>
      </c>
      <c r="I12" s="22"/>
      <c r="J12" s="41"/>
      <c r="K12" s="22">
        <v>0</v>
      </c>
      <c r="L12" s="22"/>
      <c r="M12" s="22">
        <v>976.26220000000001</v>
      </c>
      <c r="O12" s="22">
        <v>0</v>
      </c>
      <c r="P12" s="22"/>
      <c r="Q12" s="22">
        <v>1053.7213999999999</v>
      </c>
      <c r="R12" s="22"/>
      <c r="S12" s="41"/>
      <c r="T12" s="40">
        <v>0</v>
      </c>
      <c r="U12" s="22"/>
      <c r="V12" s="22">
        <v>980.35530000000006</v>
      </c>
      <c r="X12" s="40">
        <v>0</v>
      </c>
      <c r="Y12" s="22"/>
      <c r="Z12" s="22">
        <v>1120.5023000000001</v>
      </c>
      <c r="AA12" s="22"/>
      <c r="AB12" s="41"/>
      <c r="AD12" s="40">
        <v>0</v>
      </c>
      <c r="AE12" s="22"/>
      <c r="AF12" s="22">
        <v>981.12639999999999</v>
      </c>
      <c r="AH12" s="22">
        <v>0</v>
      </c>
      <c r="AI12" s="22"/>
      <c r="AJ12" s="22">
        <v>1125.7620999999999</v>
      </c>
      <c r="AK12" s="22"/>
      <c r="AM12" s="40">
        <v>0</v>
      </c>
      <c r="AN12" s="22">
        <v>994.89160000000004</v>
      </c>
      <c r="AO12" s="22">
        <v>981.06010000000003</v>
      </c>
      <c r="AQ12" s="22">
        <v>0</v>
      </c>
      <c r="AR12" s="22">
        <v>1145.0424</v>
      </c>
      <c r="AS12" s="22">
        <v>1125.7826</v>
      </c>
      <c r="AT12" s="22">
        <v>1171.7954999999999</v>
      </c>
      <c r="AV12" s="40">
        <v>0</v>
      </c>
      <c r="AW12" s="22">
        <v>993.37379999999996</v>
      </c>
      <c r="AX12" s="22">
        <v>979.13549999999998</v>
      </c>
      <c r="AZ12" s="22">
        <v>0</v>
      </c>
      <c r="BA12" s="22">
        <v>1144.5355</v>
      </c>
      <c r="BB12" s="22">
        <v>1125.3411000000001</v>
      </c>
      <c r="BC12" s="22">
        <v>1171.2661000000001</v>
      </c>
    </row>
    <row r="13" spans="2:55" x14ac:dyDescent="0.3">
      <c r="B13" s="22">
        <v>0.1</v>
      </c>
      <c r="C13" s="22"/>
      <c r="D13" s="22">
        <v>819.62760000000003</v>
      </c>
      <c r="F13" s="22">
        <v>0.5</v>
      </c>
      <c r="G13" s="22"/>
      <c r="H13" s="22">
        <v>819.62760000000003</v>
      </c>
      <c r="I13" s="22"/>
      <c r="K13" s="22">
        <v>3.3300000000000003E-2</v>
      </c>
      <c r="L13" s="22"/>
      <c r="M13" s="22">
        <v>882.67669999999998</v>
      </c>
      <c r="O13" s="22">
        <v>0.16669999999999999</v>
      </c>
      <c r="P13" s="22"/>
      <c r="Q13" s="22">
        <v>869.85339999999997</v>
      </c>
      <c r="R13" s="22"/>
      <c r="T13" s="40">
        <v>1.43E-2</v>
      </c>
      <c r="U13" s="22"/>
      <c r="V13" s="22">
        <v>932.9171</v>
      </c>
      <c r="X13" s="40">
        <v>7.1400000000000005E-2</v>
      </c>
      <c r="Y13" s="22"/>
      <c r="Z13" s="22">
        <v>952.29179999999997</v>
      </c>
      <c r="AD13" s="40">
        <v>6.7000000000000002E-3</v>
      </c>
      <c r="AE13" s="22"/>
      <c r="AF13" s="22">
        <v>957.56849999999997</v>
      </c>
      <c r="AH13" s="22">
        <v>3.3300000000000003E-2</v>
      </c>
      <c r="AI13" s="22"/>
      <c r="AJ13" s="22">
        <v>1025.0269000000001</v>
      </c>
      <c r="AK13" s="22"/>
      <c r="AM13" s="40">
        <v>3.3E-3</v>
      </c>
      <c r="AN13" s="22">
        <v>982.94970000000001</v>
      </c>
      <c r="AO13" s="22">
        <v>968.96630000000005</v>
      </c>
      <c r="AQ13" s="22">
        <v>1.67E-2</v>
      </c>
      <c r="AR13" s="22">
        <v>1094.7931000000001</v>
      </c>
      <c r="AS13" s="22">
        <v>1073.0401999999999</v>
      </c>
      <c r="AT13" s="22">
        <v>1125.4920999999999</v>
      </c>
      <c r="AV13" s="40">
        <v>1.6999999999999999E-3</v>
      </c>
      <c r="AW13" s="22">
        <v>987.31619999999998</v>
      </c>
      <c r="AX13" s="22">
        <v>973.00040000000001</v>
      </c>
      <c r="AZ13" s="22">
        <v>8.3000000000000001E-3</v>
      </c>
      <c r="BA13" s="22">
        <v>1118.9549999999999</v>
      </c>
      <c r="BB13" s="22">
        <v>1098.443</v>
      </c>
      <c r="BC13" s="22">
        <v>1147.7185999999999</v>
      </c>
    </row>
    <row r="14" spans="2:55" x14ac:dyDescent="0.3">
      <c r="B14" s="22">
        <v>0.2</v>
      </c>
      <c r="C14" s="22"/>
      <c r="D14" s="22">
        <v>1040.2012</v>
      </c>
      <c r="F14" s="22">
        <v>1</v>
      </c>
      <c r="G14" s="22"/>
      <c r="H14" s="22">
        <v>934.53689999999995</v>
      </c>
      <c r="I14" s="22"/>
      <c r="K14" s="22">
        <v>6.6699999999999995E-2</v>
      </c>
      <c r="L14" s="22"/>
      <c r="M14" s="22">
        <v>836.45050000000003</v>
      </c>
      <c r="O14" s="22">
        <v>0.33329999999999999</v>
      </c>
      <c r="P14" s="22"/>
      <c r="Q14" s="22">
        <v>836.42619999999999</v>
      </c>
      <c r="R14" s="22"/>
      <c r="T14" s="40">
        <v>2.86E-2</v>
      </c>
      <c r="U14" s="22"/>
      <c r="V14" s="22">
        <v>895.51030000000003</v>
      </c>
      <c r="X14" s="40">
        <v>0.1429</v>
      </c>
      <c r="Y14" s="22"/>
      <c r="Z14" s="22">
        <v>885.43799999999999</v>
      </c>
      <c r="AD14" s="40">
        <v>1.3299999999999999E-2</v>
      </c>
      <c r="AE14" s="22"/>
      <c r="AF14" s="22">
        <v>936.35149999999999</v>
      </c>
      <c r="AH14" s="22">
        <v>6.6699999999999995E-2</v>
      </c>
      <c r="AI14" s="22"/>
      <c r="AJ14" s="22">
        <v>961.26670000000001</v>
      </c>
      <c r="AK14" s="22"/>
      <c r="AM14" s="40">
        <v>6.7000000000000002E-3</v>
      </c>
      <c r="AN14" s="22">
        <v>971.6069</v>
      </c>
      <c r="AO14" s="22">
        <v>957.47670000000005</v>
      </c>
      <c r="AQ14" s="22">
        <v>3.3300000000000003E-2</v>
      </c>
      <c r="AR14" s="22">
        <v>1050.1783</v>
      </c>
      <c r="AS14" s="22">
        <v>1026.9712999999999</v>
      </c>
      <c r="AT14" s="22">
        <v>1083.6597999999999</v>
      </c>
      <c r="AV14" s="40">
        <v>3.3E-3</v>
      </c>
      <c r="AW14" s="22">
        <v>981.41099999999994</v>
      </c>
      <c r="AX14" s="22">
        <v>967.01900000000001</v>
      </c>
      <c r="AZ14" s="22">
        <v>1.67E-2</v>
      </c>
      <c r="BA14" s="22">
        <v>1094.4206999999999</v>
      </c>
      <c r="BB14" s="22">
        <v>1072.8285000000001</v>
      </c>
      <c r="BC14" s="22">
        <v>1125.0282</v>
      </c>
    </row>
    <row r="15" spans="2:55" x14ac:dyDescent="0.3">
      <c r="K15" s="22">
        <v>0.1</v>
      </c>
      <c r="L15" s="22"/>
      <c r="M15" s="22">
        <v>831.31600000000003</v>
      </c>
      <c r="O15" s="22">
        <v>0.5</v>
      </c>
      <c r="P15" s="22"/>
      <c r="Q15" s="22">
        <v>831.31600000000003</v>
      </c>
      <c r="R15" s="22"/>
      <c r="T15" s="40">
        <v>4.2900000000000001E-2</v>
      </c>
      <c r="U15" s="22"/>
      <c r="V15" s="22">
        <v>867.15689999999995</v>
      </c>
      <c r="X15" s="40">
        <v>0.21429999999999999</v>
      </c>
      <c r="Y15" s="22"/>
      <c r="Z15" s="22">
        <v>855.87480000000005</v>
      </c>
      <c r="AD15" s="40">
        <v>0.02</v>
      </c>
      <c r="AE15" s="22"/>
      <c r="AF15" s="22">
        <v>917.34630000000004</v>
      </c>
      <c r="AH15" s="22">
        <v>0.1</v>
      </c>
      <c r="AI15" s="22"/>
      <c r="AJ15" s="22">
        <v>919.80939999999998</v>
      </c>
      <c r="AK15" s="22"/>
      <c r="AM15" s="40">
        <v>0.01</v>
      </c>
      <c r="AN15" s="22">
        <v>960.84479999999996</v>
      </c>
      <c r="AO15" s="22">
        <v>946.57320000000004</v>
      </c>
      <c r="AQ15" s="22">
        <v>0.05</v>
      </c>
      <c r="AR15" s="22">
        <v>1013.2943</v>
      </c>
      <c r="AS15" s="22">
        <v>990.74879999999996</v>
      </c>
      <c r="AT15" s="22">
        <v>1047.9295</v>
      </c>
      <c r="AV15" s="40">
        <v>5.0000000000000001E-3</v>
      </c>
      <c r="AW15" s="22">
        <v>975.6558</v>
      </c>
      <c r="AX15" s="22">
        <v>961.18880000000001</v>
      </c>
      <c r="AZ15" s="22">
        <v>2.5000000000000001E-2</v>
      </c>
      <c r="BA15" s="22">
        <v>1071.2725</v>
      </c>
      <c r="BB15" s="22">
        <v>1048.8913</v>
      </c>
      <c r="BC15" s="22">
        <v>1103.4463000000001</v>
      </c>
    </row>
    <row r="16" spans="2:55" x14ac:dyDescent="0.3">
      <c r="K16" s="22">
        <v>0.1333</v>
      </c>
      <c r="L16" s="22"/>
      <c r="M16" s="22">
        <v>865.75229999999999</v>
      </c>
      <c r="O16" s="22">
        <v>0.66669999999999996</v>
      </c>
      <c r="P16" s="22"/>
      <c r="Q16" s="22">
        <v>836.42610000000002</v>
      </c>
      <c r="R16" s="22"/>
      <c r="T16" s="40">
        <v>5.7099999999999998E-2</v>
      </c>
      <c r="U16" s="22"/>
      <c r="V16" s="22">
        <v>847.12929999999994</v>
      </c>
      <c r="X16" s="40">
        <v>0.28570000000000001</v>
      </c>
      <c r="Y16" s="22"/>
      <c r="Z16" s="22">
        <v>842.26340000000005</v>
      </c>
      <c r="AD16" s="40">
        <v>2.6700000000000002E-2</v>
      </c>
      <c r="AE16" s="22"/>
      <c r="AF16" s="22">
        <v>900.44050000000004</v>
      </c>
      <c r="AH16" s="22">
        <v>0.1333</v>
      </c>
      <c r="AI16" s="22"/>
      <c r="AJ16" s="22">
        <v>892.17499999999995</v>
      </c>
      <c r="AK16" s="22"/>
      <c r="AM16" s="40">
        <v>1.3299999999999999E-2</v>
      </c>
      <c r="AN16" s="22">
        <v>950.64620000000002</v>
      </c>
      <c r="AO16" s="22">
        <v>936.23900000000003</v>
      </c>
      <c r="AQ16" s="22">
        <v>6.6699999999999995E-2</v>
      </c>
      <c r="AR16" s="22">
        <v>984.39300000000003</v>
      </c>
      <c r="AS16" s="22">
        <v>961.93520000000001</v>
      </c>
      <c r="AT16" s="22">
        <v>1019.0027</v>
      </c>
      <c r="AV16" s="40">
        <v>6.7000000000000002E-3</v>
      </c>
      <c r="AW16" s="22">
        <v>970.04819999999995</v>
      </c>
      <c r="AX16" s="22">
        <v>955.50760000000002</v>
      </c>
      <c r="AZ16" s="22">
        <v>3.3300000000000003E-2</v>
      </c>
      <c r="BA16" s="22">
        <v>1049.8031000000001</v>
      </c>
      <c r="BB16" s="22">
        <v>1026.9585</v>
      </c>
      <c r="BC16" s="22">
        <v>1083.2043000000001</v>
      </c>
    </row>
    <row r="17" spans="2:55" x14ac:dyDescent="0.3">
      <c r="K17" s="22">
        <v>0.16669999999999999</v>
      </c>
      <c r="L17" s="22"/>
      <c r="M17" s="22">
        <v>942.82719999999995</v>
      </c>
      <c r="O17" s="22">
        <v>0.83330000000000004</v>
      </c>
      <c r="P17" s="22"/>
      <c r="Q17" s="22">
        <v>869.85329999999999</v>
      </c>
      <c r="R17" s="22"/>
      <c r="T17" s="40">
        <v>7.1400000000000005E-2</v>
      </c>
      <c r="U17" s="22"/>
      <c r="V17" s="22">
        <v>834.90390000000002</v>
      </c>
      <c r="X17" s="40">
        <v>0.35709999999999997</v>
      </c>
      <c r="Y17" s="22"/>
      <c r="Z17" s="22">
        <v>836.00800000000004</v>
      </c>
      <c r="AD17" s="40">
        <v>3.3300000000000003E-2</v>
      </c>
      <c r="AE17" s="22"/>
      <c r="AF17" s="22">
        <v>885.53650000000005</v>
      </c>
      <c r="AH17" s="22">
        <v>0.16669999999999999</v>
      </c>
      <c r="AI17" s="22"/>
      <c r="AJ17" s="22">
        <v>873.39149999999995</v>
      </c>
      <c r="AK17" s="22"/>
      <c r="AM17" s="40">
        <v>1.67E-2</v>
      </c>
      <c r="AN17" s="22">
        <v>940.99490000000003</v>
      </c>
      <c r="AO17" s="22">
        <v>926.45830000000001</v>
      </c>
      <c r="AQ17" s="22">
        <v>8.3299999999999999E-2</v>
      </c>
      <c r="AR17" s="22">
        <v>961.4126</v>
      </c>
      <c r="AS17" s="22">
        <v>938.78890000000001</v>
      </c>
      <c r="AT17" s="22">
        <v>996.34699999999998</v>
      </c>
      <c r="AV17" s="40">
        <v>8.3000000000000001E-3</v>
      </c>
      <c r="AW17" s="22">
        <v>964.58600000000001</v>
      </c>
      <c r="AX17" s="22">
        <v>949.97310000000004</v>
      </c>
      <c r="AZ17" s="22">
        <v>4.1700000000000001E-2</v>
      </c>
      <c r="BA17" s="22">
        <v>1030.2098000000001</v>
      </c>
      <c r="BB17" s="22">
        <v>1007.5758</v>
      </c>
      <c r="BC17" s="22">
        <v>1064.4838</v>
      </c>
    </row>
    <row r="18" spans="2:55" x14ac:dyDescent="0.3">
      <c r="K18" s="22">
        <v>0.2</v>
      </c>
      <c r="L18" s="22"/>
      <c r="M18" s="22">
        <v>1070.6563000000001</v>
      </c>
      <c r="O18" s="22">
        <v>1</v>
      </c>
      <c r="P18" s="22"/>
      <c r="Q18" s="22">
        <v>1053.7212</v>
      </c>
      <c r="R18" s="22"/>
      <c r="T18" s="40">
        <v>8.5699999999999998E-2</v>
      </c>
      <c r="U18" s="22"/>
      <c r="V18" s="22">
        <v>830.13559999999995</v>
      </c>
      <c r="X18" s="40">
        <v>0.42859999999999998</v>
      </c>
      <c r="Y18" s="22"/>
      <c r="Z18" s="22">
        <v>833.36329999999998</v>
      </c>
      <c r="AD18" s="40">
        <v>0.04</v>
      </c>
      <c r="AE18" s="22"/>
      <c r="AF18" s="22">
        <v>872.54939999999999</v>
      </c>
      <c r="AH18" s="22">
        <v>0.2</v>
      </c>
      <c r="AI18" s="22"/>
      <c r="AJ18" s="22">
        <v>860.44709999999998</v>
      </c>
      <c r="AK18" s="22"/>
      <c r="AM18" s="40">
        <v>0.02</v>
      </c>
      <c r="AN18" s="22">
        <v>931.8759</v>
      </c>
      <c r="AO18" s="22">
        <v>917.21659999999997</v>
      </c>
      <c r="AQ18" s="22">
        <v>0.1</v>
      </c>
      <c r="AR18" s="22">
        <v>942.923</v>
      </c>
      <c r="AS18" s="22">
        <v>920.04319999999996</v>
      </c>
      <c r="AT18" s="22">
        <v>978.42520000000002</v>
      </c>
      <c r="AV18" s="40">
        <v>0.01</v>
      </c>
      <c r="AW18" s="22">
        <v>959.26689999999996</v>
      </c>
      <c r="AX18" s="22">
        <v>944.58320000000003</v>
      </c>
      <c r="AZ18" s="22">
        <v>0.05</v>
      </c>
      <c r="BA18" s="22">
        <v>1012.8425999999999</v>
      </c>
      <c r="BB18" s="22">
        <v>990.36770000000001</v>
      </c>
      <c r="BC18" s="22">
        <v>1047.3973000000001</v>
      </c>
    </row>
    <row r="19" spans="2:55" x14ac:dyDescent="0.3">
      <c r="T19" s="40">
        <v>0.1</v>
      </c>
      <c r="U19" s="22"/>
      <c r="V19" s="22">
        <v>832.6422</v>
      </c>
      <c r="X19" s="40">
        <v>0.5</v>
      </c>
      <c r="Y19" s="22"/>
      <c r="Z19" s="22">
        <v>832.6422</v>
      </c>
      <c r="AD19" s="40">
        <v>4.6699999999999998E-2</v>
      </c>
      <c r="AE19" s="22"/>
      <c r="AF19" s="22">
        <v>861.40589999999997</v>
      </c>
      <c r="AH19" s="22">
        <v>0.23330000000000001</v>
      </c>
      <c r="AI19" s="22"/>
      <c r="AJ19" s="22">
        <v>851.45050000000003</v>
      </c>
      <c r="AK19" s="22"/>
      <c r="AM19" s="40">
        <v>2.3300000000000001E-2</v>
      </c>
      <c r="AN19" s="22">
        <v>923.27530000000002</v>
      </c>
      <c r="AO19" s="22">
        <v>908.50030000000004</v>
      </c>
      <c r="AQ19" s="22">
        <v>0.1167</v>
      </c>
      <c r="AR19" s="22">
        <v>927.90419999999995</v>
      </c>
      <c r="AS19" s="22">
        <v>904.75890000000004</v>
      </c>
      <c r="AT19" s="22">
        <v>964.09720000000004</v>
      </c>
      <c r="AV19" s="40">
        <v>1.17E-2</v>
      </c>
      <c r="AW19" s="22">
        <v>954.08889999999997</v>
      </c>
      <c r="AX19" s="22">
        <v>939.33579999999995</v>
      </c>
      <c r="AZ19" s="22">
        <v>5.8299999999999998E-2</v>
      </c>
      <c r="BA19" s="22">
        <v>997.45699999999999</v>
      </c>
      <c r="BB19" s="22">
        <v>975.03560000000004</v>
      </c>
      <c r="BC19" s="22">
        <v>1031.9866</v>
      </c>
    </row>
    <row r="20" spans="2:55" x14ac:dyDescent="0.3">
      <c r="E20" s="55"/>
      <c r="T20" s="40">
        <v>0.1143</v>
      </c>
      <c r="U20" s="22"/>
      <c r="V20" s="22">
        <v>842.39689999999996</v>
      </c>
      <c r="X20" s="40">
        <v>0.57140000000000002</v>
      </c>
      <c r="Y20" s="22"/>
      <c r="Z20" s="22">
        <v>833.36310000000003</v>
      </c>
      <c r="AD20" s="40">
        <v>5.33E-2</v>
      </c>
      <c r="AE20" s="22"/>
      <c r="AF20" s="22">
        <v>852.04290000000003</v>
      </c>
      <c r="AH20" s="22">
        <v>0.26669999999999999</v>
      </c>
      <c r="AI20" s="22"/>
      <c r="AJ20" s="22">
        <v>845.18129999999996</v>
      </c>
      <c r="AK20" s="22"/>
      <c r="AM20" s="40">
        <v>2.6700000000000002E-2</v>
      </c>
      <c r="AN20" s="22">
        <v>915.18010000000004</v>
      </c>
      <c r="AO20" s="22">
        <v>900.29660000000001</v>
      </c>
      <c r="AQ20" s="22">
        <v>0.1333</v>
      </c>
      <c r="AR20" s="22">
        <v>915.60879999999997</v>
      </c>
      <c r="AS20" s="22">
        <v>892.22580000000005</v>
      </c>
      <c r="AT20" s="22">
        <v>952.53269999999998</v>
      </c>
      <c r="AV20" s="40">
        <v>1.3299999999999999E-2</v>
      </c>
      <c r="AW20" s="22">
        <v>949.04989999999998</v>
      </c>
      <c r="AX20" s="22">
        <v>934.22900000000004</v>
      </c>
      <c r="AZ20" s="22">
        <v>6.6699999999999995E-2</v>
      </c>
      <c r="BA20" s="22">
        <v>983.77689999999996</v>
      </c>
      <c r="BB20" s="22">
        <v>961.33299999999997</v>
      </c>
      <c r="BC20" s="22">
        <v>1018.3379</v>
      </c>
    </row>
    <row r="21" spans="2:55" x14ac:dyDescent="0.3">
      <c r="E21" s="55"/>
      <c r="T21" s="40">
        <v>0.12859999999999999</v>
      </c>
      <c r="U21" s="22"/>
      <c r="V21" s="22">
        <v>859.52480000000003</v>
      </c>
      <c r="X21" s="40">
        <v>0.64290000000000003</v>
      </c>
      <c r="Y21" s="22"/>
      <c r="Z21" s="22">
        <v>836.0077</v>
      </c>
      <c r="AD21" s="40">
        <v>0.06</v>
      </c>
      <c r="AE21" s="22"/>
      <c r="AF21" s="22">
        <v>844.40660000000003</v>
      </c>
      <c r="AH21" s="22">
        <v>0.3</v>
      </c>
      <c r="AI21" s="22"/>
      <c r="AJ21" s="22">
        <v>840.82140000000004</v>
      </c>
      <c r="AK21" s="22"/>
      <c r="AM21" s="40">
        <v>0.03</v>
      </c>
      <c r="AN21" s="22">
        <v>907.57820000000004</v>
      </c>
      <c r="AO21" s="22">
        <v>892.59379999999999</v>
      </c>
      <c r="AQ21" s="22">
        <v>0.15</v>
      </c>
      <c r="AR21" s="22">
        <v>905.47230000000002</v>
      </c>
      <c r="AS21" s="22">
        <v>881.89890000000003</v>
      </c>
      <c r="AT21" s="22">
        <v>943.12639999999999</v>
      </c>
      <c r="AV21" s="40">
        <v>1.4999999999999999E-2</v>
      </c>
      <c r="AW21" s="22">
        <v>944.14790000000005</v>
      </c>
      <c r="AX21" s="22">
        <v>929.26080000000002</v>
      </c>
      <c r="AZ21" s="22">
        <v>7.4999999999999997E-2</v>
      </c>
      <c r="BA21" s="22">
        <v>971.57190000000003</v>
      </c>
      <c r="BB21" s="22">
        <v>949.0539</v>
      </c>
      <c r="BC21" s="22">
        <v>1006.2807</v>
      </c>
    </row>
    <row r="22" spans="2:55" x14ac:dyDescent="0.3">
      <c r="E22" s="55"/>
      <c r="T22" s="40">
        <v>0.1429</v>
      </c>
      <c r="U22" s="22"/>
      <c r="V22" s="22">
        <v>884.30510000000004</v>
      </c>
      <c r="X22" s="40">
        <v>0.71430000000000005</v>
      </c>
      <c r="Y22" s="22"/>
      <c r="Z22" s="22">
        <v>842.2627</v>
      </c>
      <c r="AD22" s="40">
        <v>6.6699999999999995E-2</v>
      </c>
      <c r="AE22" s="22"/>
      <c r="AF22" s="22">
        <v>838.45249999999999</v>
      </c>
      <c r="AH22" s="22">
        <v>0.33329999999999999</v>
      </c>
      <c r="AI22" s="22"/>
      <c r="AJ22" s="22">
        <v>837.80949999999996</v>
      </c>
      <c r="AK22" s="22"/>
      <c r="AM22" s="40">
        <v>3.3300000000000003E-2</v>
      </c>
      <c r="AN22" s="22">
        <v>900.45830000000001</v>
      </c>
      <c r="AO22" s="22">
        <v>885.38070000000005</v>
      </c>
      <c r="AQ22" s="22">
        <v>0.16669999999999999</v>
      </c>
      <c r="AR22" s="22">
        <v>897.06679999999994</v>
      </c>
      <c r="AS22" s="22">
        <v>873.35479999999995</v>
      </c>
      <c r="AT22" s="22">
        <v>935.42870000000005</v>
      </c>
      <c r="AV22" s="40">
        <v>1.67E-2</v>
      </c>
      <c r="AW22" s="22">
        <v>939.38099999999997</v>
      </c>
      <c r="AX22" s="22">
        <v>924.42939999999999</v>
      </c>
      <c r="AZ22" s="22">
        <v>8.3299999999999999E-2</v>
      </c>
      <c r="BA22" s="22">
        <v>960.64949999999999</v>
      </c>
      <c r="BB22" s="22">
        <v>938.02459999999996</v>
      </c>
      <c r="BC22" s="22">
        <v>995.58810000000005</v>
      </c>
    </row>
    <row r="23" spans="2:55" x14ac:dyDescent="0.3">
      <c r="E23" s="55"/>
      <c r="T23" s="40">
        <v>0.15709999999999999</v>
      </c>
      <c r="U23" s="22"/>
      <c r="V23" s="22">
        <v>917.17859999999996</v>
      </c>
      <c r="X23" s="40">
        <v>0.78569999999999995</v>
      </c>
      <c r="Y23" s="22"/>
      <c r="Z23" s="22">
        <v>855.87350000000004</v>
      </c>
      <c r="AD23" s="40">
        <v>7.3300000000000004E-2</v>
      </c>
      <c r="AE23" s="22"/>
      <c r="AF23" s="22">
        <v>834.14400000000001</v>
      </c>
      <c r="AH23" s="22">
        <v>0.36670000000000003</v>
      </c>
      <c r="AI23" s="22"/>
      <c r="AJ23" s="22">
        <v>835.75580000000002</v>
      </c>
      <c r="AK23" s="22"/>
      <c r="AM23" s="40">
        <v>3.6700000000000003E-2</v>
      </c>
      <c r="AN23" s="22">
        <v>893.81</v>
      </c>
      <c r="AO23" s="22">
        <v>878.64710000000002</v>
      </c>
      <c r="AQ23" s="22">
        <v>0.18329999999999999</v>
      </c>
      <c r="AR23" s="22">
        <v>890.0643</v>
      </c>
      <c r="AS23" s="22">
        <v>866.26210000000003</v>
      </c>
      <c r="AT23" s="22">
        <v>929.09910000000002</v>
      </c>
      <c r="AV23" s="40">
        <v>1.83E-2</v>
      </c>
      <c r="AW23" s="22">
        <v>934.74739999999997</v>
      </c>
      <c r="AX23" s="22">
        <v>919.73299999999995</v>
      </c>
      <c r="AZ23" s="22">
        <v>9.1700000000000004E-2</v>
      </c>
      <c r="BA23" s="22">
        <v>950.84799999999996</v>
      </c>
      <c r="BB23" s="22">
        <v>928.09720000000004</v>
      </c>
      <c r="BC23" s="22">
        <v>986.07339999999999</v>
      </c>
    </row>
    <row r="24" spans="2:55" x14ac:dyDescent="0.3">
      <c r="E24" s="55"/>
      <c r="T24" s="40">
        <v>0.1714</v>
      </c>
      <c r="U24" s="22"/>
      <c r="V24" s="22">
        <v>958.76649999999995</v>
      </c>
      <c r="X24" s="40">
        <v>0.85709999999999997</v>
      </c>
      <c r="Y24" s="22"/>
      <c r="Z24" s="22">
        <v>885.43560000000002</v>
      </c>
      <c r="AD24" s="40">
        <v>0.08</v>
      </c>
      <c r="AE24" s="22"/>
      <c r="AF24" s="22">
        <v>831.45270000000005</v>
      </c>
      <c r="AH24" s="22">
        <v>0.4</v>
      </c>
      <c r="AI24" s="22"/>
      <c r="AJ24" s="22">
        <v>834.39059999999995</v>
      </c>
      <c r="AK24" s="22"/>
      <c r="AM24" s="40">
        <v>0.04</v>
      </c>
      <c r="AN24" s="22">
        <v>887.62360000000001</v>
      </c>
      <c r="AO24" s="22">
        <v>872.3836</v>
      </c>
      <c r="AQ24" s="22">
        <v>0.2</v>
      </c>
      <c r="AR24" s="22">
        <v>884.21109999999999</v>
      </c>
      <c r="AS24" s="22">
        <v>860.35879999999997</v>
      </c>
      <c r="AT24" s="22">
        <v>923.8691</v>
      </c>
      <c r="AV24" s="40">
        <v>0.02</v>
      </c>
      <c r="AW24" s="22">
        <v>930.24530000000004</v>
      </c>
      <c r="AX24" s="22">
        <v>915.16980000000001</v>
      </c>
      <c r="AZ24" s="22">
        <v>0.1</v>
      </c>
      <c r="BA24" s="22">
        <v>942.03009999999995</v>
      </c>
      <c r="BB24" s="22">
        <v>919.14499999999998</v>
      </c>
      <c r="BC24" s="22">
        <v>977.58259999999996</v>
      </c>
    </row>
    <row r="25" spans="2:55" x14ac:dyDescent="0.3">
      <c r="E25" s="55"/>
      <c r="T25" s="40">
        <v>0.1857</v>
      </c>
      <c r="U25" s="22"/>
      <c r="V25" s="22">
        <v>1009.904</v>
      </c>
      <c r="X25" s="40">
        <v>0.92859999999999998</v>
      </c>
      <c r="Y25" s="22"/>
      <c r="Z25" s="22">
        <v>952.28920000000005</v>
      </c>
      <c r="AD25" s="40">
        <v>8.6699999999999999E-2</v>
      </c>
      <c r="AE25" s="22"/>
      <c r="AF25" s="22">
        <v>830.35789999999997</v>
      </c>
      <c r="AH25" s="22">
        <v>0.43330000000000002</v>
      </c>
      <c r="AI25" s="22"/>
      <c r="AJ25" s="22">
        <v>833.53200000000004</v>
      </c>
      <c r="AK25" s="22"/>
      <c r="AM25" s="40">
        <v>4.3299999999999998E-2</v>
      </c>
      <c r="AN25" s="22">
        <v>881.89009999999996</v>
      </c>
      <c r="AO25" s="22">
        <v>866.58109999999999</v>
      </c>
      <c r="AQ25" s="22">
        <v>0.2167</v>
      </c>
      <c r="AR25" s="22">
        <v>879.30820000000006</v>
      </c>
      <c r="AS25" s="22">
        <v>855.43619999999999</v>
      </c>
      <c r="AT25" s="22">
        <v>919.53179999999998</v>
      </c>
      <c r="AV25" s="40">
        <v>2.1700000000000001E-2</v>
      </c>
      <c r="AW25" s="22">
        <v>925.87300000000005</v>
      </c>
      <c r="AX25" s="22">
        <v>910.73820000000001</v>
      </c>
      <c r="AZ25" s="22">
        <v>0.10829999999999999</v>
      </c>
      <c r="BA25" s="22">
        <v>934.07870000000003</v>
      </c>
      <c r="BB25" s="22">
        <v>911.05840000000001</v>
      </c>
      <c r="BC25" s="22">
        <v>969.98620000000005</v>
      </c>
    </row>
    <row r="26" spans="2:55" x14ac:dyDescent="0.3">
      <c r="E26" s="55"/>
      <c r="T26" s="40">
        <v>0.2</v>
      </c>
      <c r="U26" s="22"/>
      <c r="V26" s="22">
        <v>1071.6923999999999</v>
      </c>
      <c r="X26" s="40">
        <v>1</v>
      </c>
      <c r="Y26" s="22"/>
      <c r="Z26" s="22">
        <v>1120.4987000000001</v>
      </c>
      <c r="AD26" s="40">
        <v>9.3299999999999994E-2</v>
      </c>
      <c r="AE26" s="22"/>
      <c r="AF26" s="22">
        <v>830.84630000000004</v>
      </c>
      <c r="AH26" s="22">
        <v>0.4667</v>
      </c>
      <c r="AI26" s="22"/>
      <c r="AJ26" s="22">
        <v>833.0616</v>
      </c>
      <c r="AK26" s="22"/>
      <c r="AM26" s="40">
        <v>4.6699999999999998E-2</v>
      </c>
      <c r="AN26" s="22">
        <v>876.60119999999995</v>
      </c>
      <c r="AO26" s="22">
        <v>861.23159999999996</v>
      </c>
      <c r="AQ26" s="22">
        <v>0.23330000000000001</v>
      </c>
      <c r="AR26" s="22">
        <v>875.197</v>
      </c>
      <c r="AS26" s="22">
        <v>851.32669999999996</v>
      </c>
      <c r="AT26" s="22">
        <v>915.93150000000003</v>
      </c>
      <c r="AV26" s="40">
        <v>2.3300000000000001E-2</v>
      </c>
      <c r="AW26" s="22">
        <v>921.62890000000004</v>
      </c>
      <c r="AX26" s="22">
        <v>906.43669999999997</v>
      </c>
      <c r="AZ26" s="22">
        <v>0.1167</v>
      </c>
      <c r="BA26" s="22">
        <v>926.89369999999997</v>
      </c>
      <c r="BB26" s="22">
        <v>903.74239999999998</v>
      </c>
      <c r="BC26" s="22">
        <v>963.17349999999999</v>
      </c>
    </row>
    <row r="27" spans="2:55" x14ac:dyDescent="0.3">
      <c r="B27" s="20" t="s">
        <v>25</v>
      </c>
      <c r="C27" s="20" t="s">
        <v>27</v>
      </c>
      <c r="E27" s="55"/>
      <c r="AD27" s="40">
        <v>0.1</v>
      </c>
      <c r="AE27" s="22"/>
      <c r="AF27" s="22">
        <v>832.91200000000003</v>
      </c>
      <c r="AH27" s="22">
        <v>0.5</v>
      </c>
      <c r="AI27" s="22"/>
      <c r="AJ27" s="22">
        <v>832.91200000000003</v>
      </c>
      <c r="AK27" s="22"/>
      <c r="AM27" s="40">
        <v>0.05</v>
      </c>
      <c r="AN27" s="22">
        <v>871.74919999999997</v>
      </c>
      <c r="AO27" s="22">
        <v>856.32740000000001</v>
      </c>
      <c r="AQ27" s="22">
        <v>0.25</v>
      </c>
      <c r="AR27" s="22">
        <v>871.74919999999997</v>
      </c>
      <c r="AS27" s="22">
        <v>847.89459999999997</v>
      </c>
      <c r="AT27" s="22">
        <v>912.93989999999997</v>
      </c>
      <c r="AV27" s="40">
        <v>2.5000000000000001E-2</v>
      </c>
      <c r="AW27" s="22">
        <v>917.51130000000001</v>
      </c>
      <c r="AX27" s="22">
        <v>902.26350000000002</v>
      </c>
      <c r="AZ27" s="22">
        <v>0.125</v>
      </c>
      <c r="BA27" s="22">
        <v>920.38829999999996</v>
      </c>
      <c r="BB27" s="22">
        <v>897.11410000000001</v>
      </c>
      <c r="BC27" s="22">
        <v>957.05</v>
      </c>
    </row>
    <row r="28" spans="2:55" x14ac:dyDescent="0.3">
      <c r="B28" s="20" t="s">
        <v>35</v>
      </c>
      <c r="C28" s="22">
        <v>819.62760000000003</v>
      </c>
      <c r="E28" s="55"/>
      <c r="AD28" s="40">
        <v>0.1067</v>
      </c>
      <c r="AE28" s="22"/>
      <c r="AF28" s="22">
        <v>836.55629999999996</v>
      </c>
      <c r="AH28" s="22">
        <v>0.5333</v>
      </c>
      <c r="AI28" s="22"/>
      <c r="AJ28" s="22">
        <v>833.06119999999999</v>
      </c>
      <c r="AK28" s="22"/>
      <c r="AM28" s="40">
        <v>5.33E-2</v>
      </c>
      <c r="AN28" s="22">
        <v>867.32709999999997</v>
      </c>
      <c r="AO28" s="22">
        <v>851.86149999999998</v>
      </c>
      <c r="AQ28" s="22">
        <v>0.26669999999999999</v>
      </c>
      <c r="AR28" s="22">
        <v>868.85969999999998</v>
      </c>
      <c r="AS28" s="22">
        <v>845.02869999999996</v>
      </c>
      <c r="AT28" s="22">
        <v>910.4511</v>
      </c>
      <c r="AV28" s="40">
        <v>2.6700000000000002E-2</v>
      </c>
      <c r="AW28" s="22">
        <v>913.51880000000006</v>
      </c>
      <c r="AX28" s="22">
        <v>898.21730000000002</v>
      </c>
      <c r="AZ28" s="22">
        <v>0.1333</v>
      </c>
      <c r="BA28" s="22">
        <v>914.48749999999995</v>
      </c>
      <c r="BB28" s="22">
        <v>891.101</v>
      </c>
      <c r="BC28" s="22">
        <v>951.53459999999995</v>
      </c>
    </row>
    <row r="29" spans="2:55" x14ac:dyDescent="0.3">
      <c r="B29" s="20" t="s">
        <v>36</v>
      </c>
      <c r="C29" s="22">
        <v>831.31600000000003</v>
      </c>
      <c r="AD29" s="40">
        <v>0.1133</v>
      </c>
      <c r="AE29" s="22"/>
      <c r="AF29" s="22">
        <v>841.78779999999995</v>
      </c>
      <c r="AH29" s="22">
        <v>0.56669999999999998</v>
      </c>
      <c r="AI29" s="22"/>
      <c r="AJ29" s="22">
        <v>833.53110000000004</v>
      </c>
      <c r="AK29" s="22"/>
      <c r="AM29" s="40">
        <v>5.67E-2</v>
      </c>
      <c r="AN29" s="22">
        <v>863.32830000000001</v>
      </c>
      <c r="AO29" s="22">
        <v>847.82749999999999</v>
      </c>
      <c r="AQ29" s="22">
        <v>0.2833</v>
      </c>
      <c r="AR29" s="22">
        <v>866.44140000000004</v>
      </c>
      <c r="AS29" s="22">
        <v>842.6377</v>
      </c>
      <c r="AT29" s="22">
        <v>908.37840000000006</v>
      </c>
      <c r="AV29" s="40">
        <v>2.8299999999999999E-2</v>
      </c>
      <c r="AW29" s="22">
        <v>909.64980000000003</v>
      </c>
      <c r="AX29" s="22">
        <v>894.29650000000004</v>
      </c>
      <c r="AZ29" s="22">
        <v>0.14169999999999999</v>
      </c>
      <c r="BA29" s="22">
        <v>909.12609999999995</v>
      </c>
      <c r="BB29" s="22">
        <v>885.63940000000002</v>
      </c>
      <c r="BC29" s="22">
        <v>946.55759999999998</v>
      </c>
    </row>
    <row r="30" spans="2:55" x14ac:dyDescent="0.3">
      <c r="B30" s="20" t="s">
        <v>37</v>
      </c>
      <c r="C30" s="22">
        <v>832.6422</v>
      </c>
      <c r="AD30" s="40">
        <v>0.12</v>
      </c>
      <c r="AE30" s="22"/>
      <c r="AF30" s="22">
        <v>848.6223</v>
      </c>
      <c r="AH30" s="22">
        <v>0.6</v>
      </c>
      <c r="AI30" s="22"/>
      <c r="AJ30" s="22">
        <v>834.38900000000001</v>
      </c>
      <c r="AK30" s="22"/>
      <c r="AM30" s="40">
        <v>0.06</v>
      </c>
      <c r="AN30" s="22">
        <v>859.74710000000005</v>
      </c>
      <c r="AO30" s="22">
        <v>844.21950000000004</v>
      </c>
      <c r="AQ30" s="22">
        <v>0.3</v>
      </c>
      <c r="AR30" s="22">
        <v>864.42139999999995</v>
      </c>
      <c r="AS30" s="22">
        <v>840.64570000000003</v>
      </c>
      <c r="AT30" s="22">
        <v>906.65150000000006</v>
      </c>
      <c r="AV30" s="40">
        <v>0.03</v>
      </c>
      <c r="AW30" s="22">
        <v>905.90290000000005</v>
      </c>
      <c r="AX30" s="22">
        <v>890.49980000000005</v>
      </c>
      <c r="AZ30" s="22">
        <v>0.15</v>
      </c>
      <c r="BA30" s="22">
        <v>904.24710000000005</v>
      </c>
      <c r="BB30" s="22">
        <v>880.67309999999998</v>
      </c>
      <c r="BC30" s="22">
        <v>942.05899999999997</v>
      </c>
    </row>
    <row r="31" spans="2:55" x14ac:dyDescent="0.3">
      <c r="B31" s="20" t="s">
        <v>38</v>
      </c>
      <c r="C31" s="22">
        <v>832.91200000000003</v>
      </c>
      <c r="AD31" s="40">
        <v>0.12670000000000001</v>
      </c>
      <c r="AE31" s="22"/>
      <c r="AF31" s="22">
        <v>857.08270000000005</v>
      </c>
      <c r="AH31" s="22">
        <v>0.63329999999999997</v>
      </c>
      <c r="AI31" s="22"/>
      <c r="AJ31" s="22">
        <v>835.75360000000001</v>
      </c>
      <c r="AK31" s="22"/>
      <c r="AM31" s="40">
        <v>6.3299999999999995E-2</v>
      </c>
      <c r="AN31" s="22">
        <v>856.5779</v>
      </c>
      <c r="AO31" s="22">
        <v>841.03219999999999</v>
      </c>
      <c r="AQ31" s="22">
        <v>0.31669999999999998</v>
      </c>
      <c r="AR31" s="22">
        <v>862.73879999999997</v>
      </c>
      <c r="AS31" s="22">
        <v>838.98990000000003</v>
      </c>
      <c r="AT31" s="22">
        <v>905.21510000000001</v>
      </c>
      <c r="AV31" s="40">
        <v>3.1699999999999999E-2</v>
      </c>
      <c r="AW31" s="22">
        <v>902.27679999999998</v>
      </c>
      <c r="AX31" s="22">
        <v>886.82590000000005</v>
      </c>
      <c r="AZ31" s="22">
        <v>0.1583</v>
      </c>
      <c r="BA31" s="22">
        <v>899.80070000000001</v>
      </c>
      <c r="BB31" s="22">
        <v>876.15269999999998</v>
      </c>
      <c r="BC31" s="22">
        <v>937.98649999999998</v>
      </c>
    </row>
    <row r="32" spans="2:55" x14ac:dyDescent="0.3">
      <c r="B32" s="20" t="s">
        <v>39</v>
      </c>
      <c r="C32" s="22">
        <v>832.71119999999996</v>
      </c>
      <c r="AD32" s="40">
        <v>0.1333</v>
      </c>
      <c r="AE32" s="22"/>
      <c r="AF32" s="22">
        <v>867.19960000000003</v>
      </c>
      <c r="AH32" s="22">
        <v>0.66669999999999996</v>
      </c>
      <c r="AI32" s="22"/>
      <c r="AJ32" s="22">
        <v>837.80650000000003</v>
      </c>
      <c r="AK32" s="22"/>
      <c r="AM32" s="40">
        <v>6.6699999999999995E-2</v>
      </c>
      <c r="AN32" s="22">
        <v>853.81610000000001</v>
      </c>
      <c r="AO32" s="22">
        <v>838.26080000000002</v>
      </c>
      <c r="AQ32" s="22">
        <v>0.33329999999999999</v>
      </c>
      <c r="AR32" s="22">
        <v>861.34190000000001</v>
      </c>
      <c r="AS32" s="22">
        <v>837.61779999999999</v>
      </c>
      <c r="AT32" s="22">
        <v>904.02700000000004</v>
      </c>
      <c r="AV32" s="40">
        <v>3.3300000000000003E-2</v>
      </c>
      <c r="AW32" s="22">
        <v>898.77009999999996</v>
      </c>
      <c r="AX32" s="22">
        <v>883.27340000000004</v>
      </c>
      <c r="AZ32" s="22">
        <v>0.16669999999999999</v>
      </c>
      <c r="BA32" s="22">
        <v>895.74329999999998</v>
      </c>
      <c r="BB32" s="22">
        <v>872.03430000000003</v>
      </c>
      <c r="BC32" s="22">
        <v>934.29430000000002</v>
      </c>
    </row>
    <row r="33" spans="2:55" x14ac:dyDescent="0.3">
      <c r="B33" s="20" t="s">
        <v>42</v>
      </c>
      <c r="C33" s="22">
        <v>832.41060000000004</v>
      </c>
      <c r="AD33" s="40">
        <v>0.14000000000000001</v>
      </c>
      <c r="AE33" s="22"/>
      <c r="AF33" s="22">
        <v>879.01110000000006</v>
      </c>
      <c r="AH33" s="22">
        <v>0.7</v>
      </c>
      <c r="AI33" s="22"/>
      <c r="AJ33" s="22">
        <v>840.81719999999996</v>
      </c>
      <c r="AK33" s="22"/>
      <c r="AM33" s="40">
        <v>7.0000000000000007E-2</v>
      </c>
      <c r="AN33" s="22">
        <v>851.45730000000003</v>
      </c>
      <c r="AO33" s="22">
        <v>835.90089999999998</v>
      </c>
      <c r="AQ33" s="22">
        <v>0.35</v>
      </c>
      <c r="AR33" s="22">
        <v>860.18740000000003</v>
      </c>
      <c r="AS33" s="22">
        <v>836.48530000000005</v>
      </c>
      <c r="AT33" s="22">
        <v>903.04920000000004</v>
      </c>
      <c r="AV33" s="40">
        <v>3.5000000000000003E-2</v>
      </c>
      <c r="AW33" s="22">
        <v>895.38149999999996</v>
      </c>
      <c r="AX33" s="22">
        <v>879.84109999999998</v>
      </c>
      <c r="AZ33" s="22">
        <v>0.17499999999999999</v>
      </c>
      <c r="BA33" s="22">
        <v>892.03660000000002</v>
      </c>
      <c r="BB33" s="22">
        <v>868.27909999999997</v>
      </c>
      <c r="BC33" s="22">
        <v>930.94259999999997</v>
      </c>
    </row>
    <row r="34" spans="2:55" x14ac:dyDescent="0.3">
      <c r="B34" s="20" t="s">
        <v>41</v>
      </c>
      <c r="C34" s="22">
        <v>832.00210000000004</v>
      </c>
      <c r="AD34" s="40">
        <v>0.1467</v>
      </c>
      <c r="AE34" s="22"/>
      <c r="AF34" s="22">
        <v>892.56330000000003</v>
      </c>
      <c r="AH34" s="22">
        <v>0.73329999999999995</v>
      </c>
      <c r="AI34" s="22"/>
      <c r="AJ34" s="22">
        <v>845.17570000000001</v>
      </c>
      <c r="AK34" s="22"/>
      <c r="AM34" s="40">
        <v>7.3300000000000004E-2</v>
      </c>
      <c r="AN34" s="22">
        <v>849.49760000000003</v>
      </c>
      <c r="AO34" s="22">
        <v>833.94870000000003</v>
      </c>
      <c r="AQ34" s="22">
        <v>0.36670000000000003</v>
      </c>
      <c r="AR34" s="22">
        <v>859.23869999999999</v>
      </c>
      <c r="AS34" s="22">
        <v>835.55589999999995</v>
      </c>
      <c r="AT34" s="22">
        <v>902.24839999999995</v>
      </c>
      <c r="AV34" s="40">
        <v>3.6700000000000003E-2</v>
      </c>
      <c r="AW34" s="22">
        <v>892.10990000000004</v>
      </c>
      <c r="AX34" s="22">
        <v>876.52779999999996</v>
      </c>
      <c r="AZ34" s="22">
        <v>0.18329999999999999</v>
      </c>
      <c r="BA34" s="22">
        <v>888.64729999999997</v>
      </c>
      <c r="BB34" s="22">
        <v>864.85249999999996</v>
      </c>
      <c r="BC34" s="22">
        <v>927.8963</v>
      </c>
    </row>
    <row r="35" spans="2:55" x14ac:dyDescent="0.3">
      <c r="B35" s="20" t="s">
        <v>43</v>
      </c>
      <c r="C35" s="22">
        <v>831.17610000000002</v>
      </c>
      <c r="AD35" s="40">
        <v>0.15329999999999999</v>
      </c>
      <c r="AE35" s="22"/>
      <c r="AF35" s="22">
        <v>907.91070000000002</v>
      </c>
      <c r="AH35" s="22">
        <v>0.76670000000000005</v>
      </c>
      <c r="AI35" s="22"/>
      <c r="AJ35" s="22">
        <v>851.44320000000005</v>
      </c>
      <c r="AK35" s="22"/>
      <c r="AM35" s="40">
        <v>7.6700000000000004E-2</v>
      </c>
      <c r="AN35" s="22">
        <v>847.93389999999999</v>
      </c>
      <c r="AO35" s="22">
        <v>832.40099999999995</v>
      </c>
      <c r="AQ35" s="22">
        <v>0.38329999999999997</v>
      </c>
      <c r="AR35" s="22">
        <v>858.46510000000001</v>
      </c>
      <c r="AS35" s="22">
        <v>834.7989</v>
      </c>
      <c r="AT35" s="22">
        <v>901.59699999999998</v>
      </c>
      <c r="AV35" s="40">
        <v>3.8300000000000001E-2</v>
      </c>
      <c r="AW35" s="22">
        <v>888.95389999999998</v>
      </c>
      <c r="AX35" s="22">
        <v>873.33230000000003</v>
      </c>
      <c r="AZ35" s="22">
        <v>0.19170000000000001</v>
      </c>
      <c r="BA35" s="22">
        <v>885.54560000000004</v>
      </c>
      <c r="BB35" s="22">
        <v>861.72379999999998</v>
      </c>
      <c r="BC35" s="22">
        <v>925.12469999999996</v>
      </c>
    </row>
    <row r="36" spans="2:55" x14ac:dyDescent="0.3">
      <c r="B36" s="20" t="s">
        <v>40</v>
      </c>
      <c r="C36" s="22">
        <v>830.62469999999996</v>
      </c>
      <c r="AD36" s="40">
        <v>0.16</v>
      </c>
      <c r="AE36" s="22"/>
      <c r="AF36" s="22">
        <v>925.11699999999996</v>
      </c>
      <c r="AH36" s="22">
        <v>0.8</v>
      </c>
      <c r="AI36" s="22"/>
      <c r="AJ36" s="22">
        <v>860.43759999999997</v>
      </c>
      <c r="AK36" s="22"/>
      <c r="AM36" s="40">
        <v>0.08</v>
      </c>
      <c r="AN36" s="22">
        <v>846.76319999999998</v>
      </c>
      <c r="AO36" s="22">
        <v>831.25480000000005</v>
      </c>
      <c r="AQ36" s="22">
        <v>0.4</v>
      </c>
      <c r="AR36" s="22">
        <v>857.84130000000005</v>
      </c>
      <c r="AS36" s="22">
        <v>834.18889999999999</v>
      </c>
      <c r="AT36" s="22">
        <v>901.07309999999995</v>
      </c>
      <c r="AV36" s="40">
        <v>0.04</v>
      </c>
      <c r="AW36" s="22">
        <v>885.9126</v>
      </c>
      <c r="AX36" s="22">
        <v>870.25340000000006</v>
      </c>
      <c r="AZ36" s="22">
        <v>0.2</v>
      </c>
      <c r="BA36" s="22">
        <v>882.70550000000003</v>
      </c>
      <c r="BB36" s="22">
        <v>858.86559999999997</v>
      </c>
      <c r="BC36" s="22">
        <v>922.60090000000002</v>
      </c>
    </row>
    <row r="37" spans="2:55" x14ac:dyDescent="0.3">
      <c r="B37" s="20" t="s">
        <v>44</v>
      </c>
      <c r="C37" s="22">
        <v>814.37059999999997</v>
      </c>
      <c r="AD37" s="40">
        <v>0.16669999999999999</v>
      </c>
      <c r="AE37" s="22"/>
      <c r="AF37" s="22">
        <v>944.25559999999996</v>
      </c>
      <c r="AH37" s="22">
        <v>0.83330000000000004</v>
      </c>
      <c r="AI37" s="22"/>
      <c r="AJ37" s="22">
        <v>873.37929999999994</v>
      </c>
      <c r="AK37" s="22"/>
      <c r="AM37" s="40">
        <v>8.3299999999999999E-2</v>
      </c>
      <c r="AN37" s="22">
        <v>845.98320000000001</v>
      </c>
      <c r="AO37" s="22">
        <v>830.50789999999995</v>
      </c>
      <c r="AQ37" s="22">
        <v>0.41670000000000001</v>
      </c>
      <c r="AR37" s="22">
        <v>857.34609999999998</v>
      </c>
      <c r="AS37" s="22">
        <v>833.70510000000002</v>
      </c>
      <c r="AT37" s="22">
        <v>900.65869999999995</v>
      </c>
      <c r="AV37" s="40">
        <v>4.1700000000000001E-2</v>
      </c>
      <c r="AW37" s="22">
        <v>882.98469999999998</v>
      </c>
      <c r="AX37" s="22">
        <v>867.29010000000005</v>
      </c>
      <c r="AZ37" s="22">
        <v>0.20830000000000001</v>
      </c>
      <c r="BA37" s="22">
        <v>880.1037</v>
      </c>
      <c r="BB37" s="22">
        <v>856.25340000000006</v>
      </c>
      <c r="BC37" s="22">
        <v>920.30100000000004</v>
      </c>
    </row>
    <row r="38" spans="2:55" x14ac:dyDescent="0.3">
      <c r="AD38" s="40">
        <v>0.17330000000000001</v>
      </c>
      <c r="AE38" s="22"/>
      <c r="AF38" s="22">
        <v>965.41060000000004</v>
      </c>
      <c r="AH38" s="22">
        <v>0.86670000000000003</v>
      </c>
      <c r="AI38" s="22"/>
      <c r="AJ38" s="22">
        <v>892.15920000000006</v>
      </c>
      <c r="AK38" s="22"/>
      <c r="AM38" s="40">
        <v>8.6699999999999999E-2</v>
      </c>
      <c r="AN38" s="22">
        <v>845.59199999999998</v>
      </c>
      <c r="AO38" s="22">
        <v>830.15830000000005</v>
      </c>
      <c r="AQ38" s="22">
        <v>0.43330000000000002</v>
      </c>
      <c r="AR38" s="22">
        <v>856.96280000000002</v>
      </c>
      <c r="AS38" s="22">
        <v>833.33079999999995</v>
      </c>
      <c r="AT38" s="22">
        <v>900.33889999999997</v>
      </c>
      <c r="AV38" s="40">
        <v>4.3299999999999998E-2</v>
      </c>
      <c r="AW38" s="22">
        <v>880.16930000000002</v>
      </c>
      <c r="AX38" s="22">
        <v>864.44140000000004</v>
      </c>
      <c r="AZ38" s="22">
        <v>0.2167</v>
      </c>
      <c r="BA38" s="22">
        <v>877.71939999999995</v>
      </c>
      <c r="BB38" s="22">
        <v>853.86519999999996</v>
      </c>
      <c r="BC38" s="22">
        <v>918.2038</v>
      </c>
    </row>
    <row r="39" spans="2:55" x14ac:dyDescent="0.3">
      <c r="AD39" s="40">
        <v>0.18</v>
      </c>
      <c r="AE39" s="22"/>
      <c r="AF39" s="22">
        <v>988.67830000000004</v>
      </c>
      <c r="AH39" s="22">
        <v>0.9</v>
      </c>
      <c r="AI39" s="22"/>
      <c r="AJ39" s="22">
        <v>919.78899999999999</v>
      </c>
      <c r="AK39" s="22"/>
      <c r="AM39" s="40">
        <v>0.09</v>
      </c>
      <c r="AN39" s="22">
        <v>845.5883</v>
      </c>
      <c r="AO39" s="22">
        <v>830.20450000000005</v>
      </c>
      <c r="AQ39" s="22">
        <v>0.45</v>
      </c>
      <c r="AR39" s="22">
        <v>856.67780000000005</v>
      </c>
      <c r="AS39" s="22">
        <v>833.05280000000005</v>
      </c>
      <c r="AT39" s="22">
        <v>900.1019</v>
      </c>
      <c r="AV39" s="40">
        <v>4.4999999999999998E-2</v>
      </c>
      <c r="AW39" s="22">
        <v>877.46529999999996</v>
      </c>
      <c r="AX39" s="22">
        <v>861.70630000000006</v>
      </c>
      <c r="AZ39" s="22">
        <v>0.22500000000000001</v>
      </c>
      <c r="BA39" s="22">
        <v>875.53399999999999</v>
      </c>
      <c r="BB39" s="22">
        <v>851.68119999999999</v>
      </c>
      <c r="BC39" s="22">
        <v>916.29070000000002</v>
      </c>
    </row>
    <row r="40" spans="2:55" x14ac:dyDescent="0.3">
      <c r="AD40" s="40">
        <v>0.1867</v>
      </c>
      <c r="AE40" s="22"/>
      <c r="AF40" s="22">
        <v>1014.168</v>
      </c>
      <c r="AH40" s="22">
        <v>0.93330000000000002</v>
      </c>
      <c r="AI40" s="22"/>
      <c r="AJ40" s="22">
        <v>961.2405</v>
      </c>
      <c r="AK40" s="22"/>
      <c r="AM40" s="40">
        <v>9.3299999999999994E-2</v>
      </c>
      <c r="AN40" s="22">
        <v>845.97109999999998</v>
      </c>
      <c r="AO40" s="22">
        <v>830.64570000000003</v>
      </c>
      <c r="AQ40" s="22">
        <v>0.4667</v>
      </c>
      <c r="AR40" s="22">
        <v>856.48109999999997</v>
      </c>
      <c r="AS40" s="22">
        <v>832.86099999999999</v>
      </c>
      <c r="AT40" s="22">
        <v>899.93870000000004</v>
      </c>
      <c r="AV40" s="40">
        <v>4.6699999999999998E-2</v>
      </c>
      <c r="AW40" s="22">
        <v>874.87170000000003</v>
      </c>
      <c r="AX40" s="22">
        <v>859.08370000000002</v>
      </c>
      <c r="AZ40" s="22">
        <v>0.23330000000000001</v>
      </c>
      <c r="BA40" s="22">
        <v>873.53089999999997</v>
      </c>
      <c r="BB40" s="22">
        <v>849.68380000000002</v>
      </c>
      <c r="BC40" s="22">
        <v>914.54489999999998</v>
      </c>
    </row>
    <row r="41" spans="2:55" x14ac:dyDescent="0.3">
      <c r="AD41" s="40">
        <v>0.1933</v>
      </c>
      <c r="AE41" s="22"/>
      <c r="AF41" s="22">
        <v>1042.0030999999999</v>
      </c>
      <c r="AH41" s="22">
        <v>0.9667</v>
      </c>
      <c r="AI41" s="22"/>
      <c r="AJ41" s="22">
        <v>1025.0002999999999</v>
      </c>
      <c r="AK41" s="22"/>
      <c r="AM41" s="40">
        <v>9.6699999999999994E-2</v>
      </c>
      <c r="AN41" s="22">
        <v>846.73979999999995</v>
      </c>
      <c r="AO41" s="22">
        <v>831.48130000000003</v>
      </c>
      <c r="AQ41" s="22">
        <v>0.48330000000000001</v>
      </c>
      <c r="AR41" s="22">
        <v>856.36569999999995</v>
      </c>
      <c r="AS41" s="22">
        <v>832.74850000000004</v>
      </c>
      <c r="AT41" s="22">
        <v>899.84310000000005</v>
      </c>
      <c r="AV41" s="40">
        <v>4.8300000000000003E-2</v>
      </c>
      <c r="AW41" s="22">
        <v>872.38760000000002</v>
      </c>
      <c r="AX41" s="22">
        <v>856.57280000000003</v>
      </c>
      <c r="AZ41" s="22">
        <v>0.2417</v>
      </c>
      <c r="BA41" s="22">
        <v>871.69479999999999</v>
      </c>
      <c r="BB41" s="22">
        <v>847.85680000000002</v>
      </c>
      <c r="BC41" s="22">
        <v>912.95150000000001</v>
      </c>
    </row>
    <row r="42" spans="2:55" x14ac:dyDescent="0.3">
      <c r="AD42" s="40">
        <v>0.2</v>
      </c>
      <c r="AE42" s="22"/>
      <c r="AF42" s="22">
        <v>1071.9101000000001</v>
      </c>
      <c r="AH42" s="22">
        <v>1</v>
      </c>
      <c r="AI42" s="22"/>
      <c r="AJ42" s="22">
        <v>1125.7384</v>
      </c>
      <c r="AK42" s="22"/>
      <c r="AM42" s="40">
        <v>0.1</v>
      </c>
      <c r="AN42" s="22">
        <v>847.89459999999997</v>
      </c>
      <c r="AO42" s="22">
        <v>832.71119999999996</v>
      </c>
      <c r="AQ42" s="22">
        <v>0.5</v>
      </c>
      <c r="AR42" s="22">
        <v>856.32740000000001</v>
      </c>
      <c r="AS42" s="22">
        <v>832.71119999999996</v>
      </c>
      <c r="AT42" s="22">
        <v>899.81140000000005</v>
      </c>
      <c r="AV42" s="40">
        <v>0.05</v>
      </c>
      <c r="AW42" s="22">
        <v>870.01220000000001</v>
      </c>
      <c r="AX42" s="22">
        <v>854.17269999999996</v>
      </c>
      <c r="AZ42" s="22">
        <v>0.25</v>
      </c>
      <c r="BA42" s="22">
        <v>870.01220000000001</v>
      </c>
      <c r="BB42" s="22">
        <v>846.18589999999995</v>
      </c>
      <c r="BC42" s="22">
        <v>911.49710000000005</v>
      </c>
    </row>
    <row r="43" spans="2:55" x14ac:dyDescent="0.3">
      <c r="AM43" s="56">
        <v>0.1033</v>
      </c>
      <c r="AN43" s="22">
        <v>849.4357</v>
      </c>
      <c r="AO43" s="22">
        <v>834.33569999999997</v>
      </c>
      <c r="AQ43" s="22">
        <v>0.51670000000000005</v>
      </c>
      <c r="AR43" s="22">
        <v>856.36479999999995</v>
      </c>
      <c r="AS43" s="22">
        <v>832.74760000000003</v>
      </c>
      <c r="AT43" s="22">
        <v>899.8424</v>
      </c>
      <c r="AV43" s="40">
        <v>5.1700000000000003E-2</v>
      </c>
      <c r="AW43" s="22">
        <v>867.74440000000004</v>
      </c>
      <c r="AX43" s="22">
        <v>851.88239999999996</v>
      </c>
      <c r="AZ43" s="22">
        <v>0.25829999999999997</v>
      </c>
      <c r="BA43" s="22">
        <v>868.47040000000004</v>
      </c>
      <c r="BB43" s="22">
        <v>844.65769999999998</v>
      </c>
      <c r="BC43" s="22">
        <v>910.16949999999997</v>
      </c>
    </row>
    <row r="44" spans="2:55" x14ac:dyDescent="0.3">
      <c r="AM44" s="56">
        <v>0.1067</v>
      </c>
      <c r="AN44" s="22">
        <v>851.36410000000001</v>
      </c>
      <c r="AO44" s="22">
        <v>836.35580000000004</v>
      </c>
      <c r="AQ44" s="22">
        <v>0.5333</v>
      </c>
      <c r="AR44" s="22">
        <v>856.47940000000006</v>
      </c>
      <c r="AS44" s="22">
        <v>832.85929999999996</v>
      </c>
      <c r="AT44" s="22">
        <v>899.93719999999996</v>
      </c>
      <c r="AV44" s="40">
        <v>5.33E-2</v>
      </c>
      <c r="AW44" s="22">
        <v>865.58360000000005</v>
      </c>
      <c r="AX44" s="22">
        <v>849.70129999999995</v>
      </c>
      <c r="AZ44" s="22">
        <v>0.26669999999999999</v>
      </c>
      <c r="BA44" s="22">
        <v>867.05830000000003</v>
      </c>
      <c r="BB44" s="22">
        <v>843.26049999999998</v>
      </c>
      <c r="BC44" s="22">
        <v>908.95759999999996</v>
      </c>
    </row>
    <row r="45" spans="2:55" x14ac:dyDescent="0.3">
      <c r="AM45" s="56">
        <v>0.11</v>
      </c>
      <c r="AN45" s="22">
        <v>853.68119999999999</v>
      </c>
      <c r="AO45" s="22">
        <v>838.77269999999999</v>
      </c>
      <c r="AQ45" s="22">
        <v>0.55000000000000004</v>
      </c>
      <c r="AR45" s="22">
        <v>856.67510000000004</v>
      </c>
      <c r="AS45" s="22">
        <v>833.05020000000002</v>
      </c>
      <c r="AT45" s="22">
        <v>900.09960000000001</v>
      </c>
      <c r="AV45" s="40">
        <v>5.5E-2</v>
      </c>
      <c r="AW45" s="22">
        <v>863.52890000000002</v>
      </c>
      <c r="AX45" s="22">
        <v>847.62850000000003</v>
      </c>
      <c r="AZ45" s="22">
        <v>0.27500000000000002</v>
      </c>
      <c r="BA45" s="22">
        <v>865.7654</v>
      </c>
      <c r="BB45" s="22">
        <v>841.98339999999996</v>
      </c>
      <c r="BC45" s="22">
        <v>907.85149999999999</v>
      </c>
    </row>
    <row r="46" spans="2:55" x14ac:dyDescent="0.3">
      <c r="AM46" s="56">
        <v>0.1133</v>
      </c>
      <c r="AN46" s="22">
        <v>856.38869999999997</v>
      </c>
      <c r="AO46" s="22">
        <v>841.58799999999997</v>
      </c>
      <c r="AQ46" s="22">
        <v>0.56669999999999998</v>
      </c>
      <c r="AR46" s="22">
        <v>856.95910000000003</v>
      </c>
      <c r="AS46" s="22">
        <v>833.32730000000004</v>
      </c>
      <c r="AT46" s="22">
        <v>900.33569999999997</v>
      </c>
      <c r="AV46" s="40">
        <v>5.67E-2</v>
      </c>
      <c r="AW46" s="22">
        <v>861.57960000000003</v>
      </c>
      <c r="AX46" s="22">
        <v>845.66319999999996</v>
      </c>
      <c r="AZ46" s="22">
        <v>0.2833</v>
      </c>
      <c r="BA46" s="22">
        <v>864.58219999999994</v>
      </c>
      <c r="BB46" s="22">
        <v>840.81650000000002</v>
      </c>
      <c r="BC46" s="22">
        <v>906.84199999999998</v>
      </c>
    </row>
    <row r="47" spans="2:55" x14ac:dyDescent="0.3">
      <c r="AM47" s="56">
        <v>0.1167</v>
      </c>
      <c r="AN47" s="22">
        <v>859.48889999999994</v>
      </c>
      <c r="AO47" s="22">
        <v>844.80409999999995</v>
      </c>
      <c r="AQ47" s="22">
        <v>0.58330000000000004</v>
      </c>
      <c r="AR47" s="22">
        <v>857.34140000000002</v>
      </c>
      <c r="AS47" s="22">
        <v>833.70050000000003</v>
      </c>
      <c r="AT47" s="22">
        <v>900.65459999999996</v>
      </c>
      <c r="AV47" s="40">
        <v>5.8299999999999998E-2</v>
      </c>
      <c r="AW47" s="22">
        <v>859.73490000000004</v>
      </c>
      <c r="AX47" s="22">
        <v>843.8048</v>
      </c>
      <c r="AZ47" s="22">
        <v>0.29170000000000001</v>
      </c>
      <c r="BA47" s="22">
        <v>863.50009999999997</v>
      </c>
      <c r="BB47" s="22">
        <v>839.75070000000005</v>
      </c>
      <c r="BC47" s="22">
        <v>905.9212</v>
      </c>
    </row>
    <row r="48" spans="2:55" x14ac:dyDescent="0.3">
      <c r="AM48" s="56">
        <v>0.12</v>
      </c>
      <c r="AN48" s="22">
        <v>862.9846</v>
      </c>
      <c r="AO48" s="22">
        <v>848.42349999999999</v>
      </c>
      <c r="AQ48" s="22">
        <v>0.6</v>
      </c>
      <c r="AR48" s="22">
        <v>857.83540000000005</v>
      </c>
      <c r="AS48" s="22">
        <v>834.18309999999997</v>
      </c>
      <c r="AT48" s="22">
        <v>901.06799999999998</v>
      </c>
      <c r="AV48" s="40">
        <v>0.06</v>
      </c>
      <c r="AW48" s="22">
        <v>857.99419999999998</v>
      </c>
      <c r="AX48" s="22">
        <v>842.05259999999998</v>
      </c>
      <c r="AZ48" s="22">
        <v>0.3</v>
      </c>
      <c r="BA48" s="22">
        <v>862.51099999999997</v>
      </c>
      <c r="BB48" s="22">
        <v>838.77790000000005</v>
      </c>
      <c r="BC48" s="22">
        <v>905.08180000000004</v>
      </c>
    </row>
    <row r="49" spans="39:55" x14ac:dyDescent="0.3">
      <c r="AM49" s="56">
        <v>0.12330000000000001</v>
      </c>
      <c r="AN49" s="22">
        <v>866.87900000000002</v>
      </c>
      <c r="AO49" s="22">
        <v>852.44929999999999</v>
      </c>
      <c r="AQ49" s="22">
        <v>0.61670000000000003</v>
      </c>
      <c r="AR49" s="22">
        <v>858.45799999999997</v>
      </c>
      <c r="AS49" s="22">
        <v>834.79190000000006</v>
      </c>
      <c r="AT49" s="22">
        <v>901.59079999999994</v>
      </c>
      <c r="AV49" s="40">
        <v>6.1699999999999998E-2</v>
      </c>
      <c r="AW49" s="22">
        <v>856.3569</v>
      </c>
      <c r="AX49" s="22">
        <v>840.4058</v>
      </c>
      <c r="AZ49" s="22">
        <v>0.30830000000000002</v>
      </c>
      <c r="BA49" s="22">
        <v>861.60760000000005</v>
      </c>
      <c r="BB49" s="22">
        <v>837.8904</v>
      </c>
      <c r="BC49" s="22">
        <v>904.31719999999996</v>
      </c>
    </row>
    <row r="50" spans="39:55" x14ac:dyDescent="0.3">
      <c r="AM50" s="56">
        <v>0.12670000000000001</v>
      </c>
      <c r="AN50" s="22">
        <v>871.17570000000001</v>
      </c>
      <c r="AO50" s="22">
        <v>856.88499999999999</v>
      </c>
      <c r="AQ50" s="22">
        <v>0.63329999999999997</v>
      </c>
      <c r="AR50" s="22">
        <v>859.23019999999997</v>
      </c>
      <c r="AS50" s="22">
        <v>835.54750000000001</v>
      </c>
      <c r="AT50" s="22">
        <v>902.24080000000004</v>
      </c>
      <c r="AV50" s="40">
        <v>6.3299999999999995E-2</v>
      </c>
      <c r="AW50" s="22">
        <v>854.82219999999995</v>
      </c>
      <c r="AX50" s="22">
        <v>838.86400000000003</v>
      </c>
      <c r="AZ50" s="22">
        <v>0.31669999999999998</v>
      </c>
      <c r="BA50" s="22">
        <v>860.78330000000005</v>
      </c>
      <c r="BB50" s="22">
        <v>837.08150000000001</v>
      </c>
      <c r="BC50" s="22">
        <v>903.62120000000004</v>
      </c>
    </row>
    <row r="51" spans="39:55" x14ac:dyDescent="0.3">
      <c r="AM51" s="56">
        <v>0.13</v>
      </c>
      <c r="AN51" s="22">
        <v>875.87909999999999</v>
      </c>
      <c r="AO51" s="22">
        <v>861.7346</v>
      </c>
      <c r="AQ51" s="22">
        <v>0.65</v>
      </c>
      <c r="AR51" s="22">
        <v>860.17740000000003</v>
      </c>
      <c r="AS51" s="22">
        <v>836.47540000000004</v>
      </c>
      <c r="AT51" s="22">
        <v>903.04010000000005</v>
      </c>
      <c r="AV51" s="40">
        <v>6.5000000000000002E-2</v>
      </c>
      <c r="AW51" s="22">
        <v>853.38959999999997</v>
      </c>
      <c r="AX51" s="22">
        <v>837.42650000000003</v>
      </c>
      <c r="AZ51" s="22">
        <v>0.32500000000000001</v>
      </c>
      <c r="BA51" s="22">
        <v>860.0317</v>
      </c>
      <c r="BB51" s="22">
        <v>836.34469999999999</v>
      </c>
      <c r="BC51" s="22">
        <v>902.98820000000001</v>
      </c>
    </row>
    <row r="52" spans="39:55" x14ac:dyDescent="0.3">
      <c r="AM52" s="56">
        <v>0.1333</v>
      </c>
      <c r="AN52" s="22">
        <v>880.99379999999996</v>
      </c>
      <c r="AO52" s="22">
        <v>867.0027</v>
      </c>
      <c r="AQ52" s="22">
        <v>0.66669999999999996</v>
      </c>
      <c r="AR52" s="22">
        <v>861.33019999999999</v>
      </c>
      <c r="AS52" s="22">
        <v>837.60609999999997</v>
      </c>
      <c r="AT52" s="22">
        <v>904.01620000000003</v>
      </c>
      <c r="AV52" s="40">
        <v>6.6699999999999995E-2</v>
      </c>
      <c r="AW52" s="22">
        <v>852.05859999999996</v>
      </c>
      <c r="AX52" s="22">
        <v>836.09270000000004</v>
      </c>
      <c r="AZ52" s="22">
        <v>0.33329999999999999</v>
      </c>
      <c r="BA52" s="22">
        <v>859.34720000000004</v>
      </c>
      <c r="BB52" s="22">
        <v>835.67430000000002</v>
      </c>
      <c r="BC52" s="22">
        <v>902.41309999999999</v>
      </c>
    </row>
    <row r="53" spans="39:55" x14ac:dyDescent="0.3">
      <c r="AM53" s="56">
        <v>0.13669999999999999</v>
      </c>
      <c r="AN53" s="22">
        <v>886.52509999999995</v>
      </c>
      <c r="AO53" s="22">
        <v>872.6943</v>
      </c>
      <c r="AQ53" s="22">
        <v>0.68330000000000002</v>
      </c>
      <c r="AR53" s="22">
        <v>862.72519999999997</v>
      </c>
      <c r="AS53" s="22">
        <v>838.97649999999999</v>
      </c>
      <c r="AT53" s="22">
        <v>905.20249999999999</v>
      </c>
      <c r="AV53" s="40">
        <v>6.83E-2</v>
      </c>
      <c r="AW53" s="22">
        <v>850.82870000000003</v>
      </c>
      <c r="AX53" s="22">
        <v>834.86220000000003</v>
      </c>
      <c r="AZ53" s="22">
        <v>0.3417</v>
      </c>
      <c r="BA53" s="22">
        <v>858.72450000000003</v>
      </c>
      <c r="BB53" s="22">
        <v>835.06500000000005</v>
      </c>
      <c r="BC53" s="22">
        <v>901.89089999999999</v>
      </c>
    </row>
    <row r="54" spans="39:55" x14ac:dyDescent="0.3">
      <c r="AM54" s="56">
        <v>0.14000000000000001</v>
      </c>
      <c r="AN54" s="22">
        <v>892.4787</v>
      </c>
      <c r="AO54" s="22">
        <v>878.81460000000004</v>
      </c>
      <c r="AQ54" s="22">
        <v>0.7</v>
      </c>
      <c r="AR54" s="22">
        <v>864.4058</v>
      </c>
      <c r="AS54" s="22">
        <v>840.63030000000003</v>
      </c>
      <c r="AT54" s="22">
        <v>906.63729999999998</v>
      </c>
      <c r="AV54" s="40">
        <v>7.0000000000000007E-2</v>
      </c>
      <c r="AW54" s="22">
        <v>849.69929999999999</v>
      </c>
      <c r="AX54" s="22">
        <v>833.73440000000005</v>
      </c>
      <c r="AZ54" s="22">
        <v>0.35</v>
      </c>
      <c r="BA54" s="22">
        <v>858.15890000000002</v>
      </c>
      <c r="BB54" s="22">
        <v>834.51199999999994</v>
      </c>
      <c r="BC54" s="22">
        <v>901.41759999999999</v>
      </c>
    </row>
    <row r="55" spans="39:55" x14ac:dyDescent="0.3">
      <c r="AM55" s="56">
        <v>0.14330000000000001</v>
      </c>
      <c r="AN55" s="22">
        <v>898.86099999999999</v>
      </c>
      <c r="AO55" s="22">
        <v>885.36990000000003</v>
      </c>
      <c r="AQ55" s="22">
        <v>0.7167</v>
      </c>
      <c r="AR55" s="22">
        <v>866.42340000000002</v>
      </c>
      <c r="AS55" s="22">
        <v>842.62</v>
      </c>
      <c r="AT55" s="22">
        <v>908.36249999999995</v>
      </c>
      <c r="AV55" s="40">
        <v>7.17E-2</v>
      </c>
      <c r="AW55" s="22">
        <v>848.67</v>
      </c>
      <c r="AX55" s="22">
        <v>832.70899999999995</v>
      </c>
      <c r="AZ55" s="22">
        <v>0.35830000000000001</v>
      </c>
      <c r="BA55" s="22">
        <v>857.64580000000001</v>
      </c>
      <c r="BB55" s="22">
        <v>834.01070000000004</v>
      </c>
      <c r="BC55" s="22">
        <v>900.98900000000003</v>
      </c>
    </row>
    <row r="56" spans="39:55" x14ac:dyDescent="0.3">
      <c r="AM56" s="56">
        <v>0.1467</v>
      </c>
      <c r="AN56" s="22">
        <v>905.6789</v>
      </c>
      <c r="AO56" s="22">
        <v>892.36649999999997</v>
      </c>
      <c r="AQ56" s="22">
        <v>0.73329999999999995</v>
      </c>
      <c r="AR56" s="22">
        <v>868.83910000000003</v>
      </c>
      <c r="AS56" s="22">
        <v>845.0086</v>
      </c>
      <c r="AT56" s="22">
        <v>910.43330000000003</v>
      </c>
      <c r="AV56" s="40">
        <v>7.3300000000000004E-2</v>
      </c>
      <c r="AW56" s="22">
        <v>847.74030000000005</v>
      </c>
      <c r="AX56" s="22">
        <v>831.78539999999998</v>
      </c>
      <c r="AZ56" s="22">
        <v>0.36670000000000003</v>
      </c>
      <c r="BA56" s="22">
        <v>857.18140000000005</v>
      </c>
      <c r="BB56" s="22">
        <v>833.55719999999997</v>
      </c>
      <c r="BC56" s="22">
        <v>900.60159999999996</v>
      </c>
    </row>
    <row r="57" spans="39:55" x14ac:dyDescent="0.3">
      <c r="AM57" s="56">
        <v>0.15</v>
      </c>
      <c r="AN57" s="22">
        <v>912.93989999999997</v>
      </c>
      <c r="AO57" s="22">
        <v>899.81140000000005</v>
      </c>
      <c r="AQ57" s="22">
        <v>0.75</v>
      </c>
      <c r="AR57" s="22">
        <v>871.72580000000005</v>
      </c>
      <c r="AS57" s="22">
        <v>847.87170000000003</v>
      </c>
      <c r="AT57" s="22">
        <v>912.91989999999998</v>
      </c>
      <c r="AV57" s="40">
        <v>7.4999999999999997E-2</v>
      </c>
      <c r="AW57" s="22">
        <v>846.90989999999999</v>
      </c>
      <c r="AX57" s="22">
        <v>830.96320000000003</v>
      </c>
      <c r="AZ57" s="22">
        <v>0.375</v>
      </c>
      <c r="BA57" s="22">
        <v>856.76170000000002</v>
      </c>
      <c r="BB57" s="22">
        <v>833.14769999999999</v>
      </c>
      <c r="BC57" s="22">
        <v>900.25210000000004</v>
      </c>
    </row>
    <row r="58" spans="39:55" x14ac:dyDescent="0.3">
      <c r="AM58" s="56">
        <v>0.15329999999999999</v>
      </c>
      <c r="AN58" s="22">
        <v>920.65219999999999</v>
      </c>
      <c r="AO58" s="22">
        <v>907.71230000000003</v>
      </c>
      <c r="AQ58" s="22">
        <v>0.76670000000000005</v>
      </c>
      <c r="AR58" s="22">
        <v>875.17039999999997</v>
      </c>
      <c r="AS58" s="22">
        <v>851.30070000000001</v>
      </c>
      <c r="AT58" s="22">
        <v>915.90890000000002</v>
      </c>
      <c r="AV58" s="40">
        <v>7.6700000000000004E-2</v>
      </c>
      <c r="AW58" s="22">
        <v>846.17849999999999</v>
      </c>
      <c r="AX58" s="22">
        <v>830.24210000000005</v>
      </c>
      <c r="AZ58" s="22">
        <v>0.38329999999999997</v>
      </c>
      <c r="BA58" s="22">
        <v>856.3836</v>
      </c>
      <c r="BB58" s="22">
        <v>832.77880000000005</v>
      </c>
      <c r="BC58" s="22">
        <v>899.93759999999997</v>
      </c>
    </row>
    <row r="59" spans="39:55" x14ac:dyDescent="0.3">
      <c r="AM59" s="56">
        <v>0.15670000000000001</v>
      </c>
      <c r="AN59" s="22">
        <v>928.82460000000003</v>
      </c>
      <c r="AO59" s="22">
        <v>916.07740000000001</v>
      </c>
      <c r="AQ59" s="22">
        <v>0.7833</v>
      </c>
      <c r="AR59" s="22">
        <v>879.27800000000002</v>
      </c>
      <c r="AS59" s="22">
        <v>855.40679999999998</v>
      </c>
      <c r="AT59" s="22">
        <v>919.50630000000001</v>
      </c>
      <c r="AV59" s="40">
        <v>7.8299999999999995E-2</v>
      </c>
      <c r="AW59" s="22">
        <v>845.54549999999995</v>
      </c>
      <c r="AX59" s="22">
        <v>829.62180000000001</v>
      </c>
      <c r="AZ59" s="22">
        <v>0.39169999999999999</v>
      </c>
      <c r="BA59" s="22">
        <v>856.04380000000003</v>
      </c>
      <c r="BB59" s="22">
        <v>832.44749999999999</v>
      </c>
      <c r="BC59" s="22">
        <v>899.65539999999999</v>
      </c>
    </row>
    <row r="60" spans="39:55" x14ac:dyDescent="0.3">
      <c r="AM60" s="56">
        <v>0.16</v>
      </c>
      <c r="AN60" s="22">
        <v>937.46659999999997</v>
      </c>
      <c r="AO60" s="22">
        <v>924.9153</v>
      </c>
      <c r="AQ60" s="22">
        <v>0.8</v>
      </c>
      <c r="AR60" s="22">
        <v>884.17690000000005</v>
      </c>
      <c r="AS60" s="22">
        <v>860.32560000000001</v>
      </c>
      <c r="AT60" s="22">
        <v>923.84029999999996</v>
      </c>
      <c r="AV60" s="40">
        <v>0.08</v>
      </c>
      <c r="AW60" s="22">
        <v>845.01089999999999</v>
      </c>
      <c r="AX60" s="22">
        <v>829.10199999999998</v>
      </c>
      <c r="AZ60" s="22">
        <v>0.4</v>
      </c>
      <c r="BA60" s="22">
        <v>855.7396</v>
      </c>
      <c r="BB60" s="22">
        <v>832.15099999999995</v>
      </c>
      <c r="BC60" s="22">
        <v>899.40290000000005</v>
      </c>
    </row>
    <row r="61" spans="39:55" x14ac:dyDescent="0.3">
      <c r="AM61" s="56">
        <v>0.1633</v>
      </c>
      <c r="AN61" s="22">
        <v>946.58839999999998</v>
      </c>
      <c r="AO61" s="22">
        <v>934.2355</v>
      </c>
      <c r="AQ61" s="22">
        <v>0.81669999999999998</v>
      </c>
      <c r="AR61" s="22">
        <v>890.02570000000003</v>
      </c>
      <c r="AS61" s="22">
        <v>866.22479999999996</v>
      </c>
      <c r="AT61" s="22">
        <v>929.06669999999997</v>
      </c>
      <c r="AV61" s="40">
        <v>8.1699999999999995E-2</v>
      </c>
      <c r="AW61" s="22">
        <v>844.57420000000002</v>
      </c>
      <c r="AX61" s="22">
        <v>828.68230000000005</v>
      </c>
      <c r="AZ61" s="22">
        <v>0.4083</v>
      </c>
      <c r="BA61" s="22">
        <v>855.46839999999997</v>
      </c>
      <c r="BB61" s="22">
        <v>831.88679999999999</v>
      </c>
      <c r="BC61" s="22">
        <v>899.178</v>
      </c>
    </row>
    <row r="62" spans="39:55" x14ac:dyDescent="0.3">
      <c r="AM62" s="56">
        <v>0.16669999999999999</v>
      </c>
      <c r="AN62" s="22">
        <v>956.20119999999997</v>
      </c>
      <c r="AO62" s="22">
        <v>944.04809999999998</v>
      </c>
      <c r="AQ62" s="22">
        <v>0.83330000000000004</v>
      </c>
      <c r="AR62" s="22">
        <v>897.02319999999997</v>
      </c>
      <c r="AS62" s="22">
        <v>873.31290000000001</v>
      </c>
      <c r="AT62" s="22">
        <v>935.3922</v>
      </c>
      <c r="AV62" s="40">
        <v>8.3299999999999999E-2</v>
      </c>
      <c r="AW62" s="22">
        <v>844.23519999999996</v>
      </c>
      <c r="AX62" s="22">
        <v>828.36249999999995</v>
      </c>
      <c r="AZ62" s="22">
        <v>0.41670000000000001</v>
      </c>
      <c r="BA62" s="22">
        <v>855.22810000000004</v>
      </c>
      <c r="BB62" s="22">
        <v>831.65260000000001</v>
      </c>
      <c r="BC62" s="22">
        <v>898.9787</v>
      </c>
    </row>
    <row r="63" spans="39:55" x14ac:dyDescent="0.3">
      <c r="AM63" s="56">
        <v>0.17</v>
      </c>
      <c r="AN63" s="22">
        <v>966.31669999999997</v>
      </c>
      <c r="AO63" s="22">
        <v>954.36369999999999</v>
      </c>
      <c r="AQ63" s="22">
        <v>0.85</v>
      </c>
      <c r="AR63" s="22">
        <v>905.42349999999999</v>
      </c>
      <c r="AS63" s="22">
        <v>881.85180000000003</v>
      </c>
      <c r="AT63" s="22">
        <v>943.08519999999999</v>
      </c>
      <c r="AV63" s="40">
        <v>8.5000000000000006E-2</v>
      </c>
      <c r="AW63" s="22">
        <v>843.99369999999999</v>
      </c>
      <c r="AX63" s="22">
        <v>828.14239999999995</v>
      </c>
      <c r="AZ63" s="22">
        <v>0.42499999999999999</v>
      </c>
      <c r="BA63" s="22">
        <v>855.01639999999998</v>
      </c>
      <c r="BB63" s="22">
        <v>831.44650000000001</v>
      </c>
      <c r="BC63" s="22">
        <v>898.80319999999995</v>
      </c>
    </row>
    <row r="64" spans="39:55" x14ac:dyDescent="0.3">
      <c r="AM64" s="56">
        <v>0.17330000000000001</v>
      </c>
      <c r="AN64" s="22">
        <v>976.94780000000003</v>
      </c>
      <c r="AO64" s="22">
        <v>965.19399999999996</v>
      </c>
      <c r="AQ64" s="22">
        <v>0.86670000000000003</v>
      </c>
      <c r="AR64" s="22">
        <v>915.55439999999999</v>
      </c>
      <c r="AS64" s="22">
        <v>892.17330000000004</v>
      </c>
      <c r="AT64" s="22">
        <v>952.48620000000005</v>
      </c>
      <c r="AV64" s="40">
        <v>8.6699999999999999E-2</v>
      </c>
      <c r="AW64" s="22">
        <v>843.84950000000003</v>
      </c>
      <c r="AX64" s="22">
        <v>828.02170000000001</v>
      </c>
      <c r="AZ64" s="22">
        <v>0.43330000000000002</v>
      </c>
      <c r="BA64" s="22">
        <v>854.83159999999998</v>
      </c>
      <c r="BB64" s="22">
        <v>831.26649999999995</v>
      </c>
      <c r="BC64" s="22">
        <v>898.65</v>
      </c>
    </row>
    <row r="65" spans="39:55" x14ac:dyDescent="0.3">
      <c r="AM65" s="56">
        <v>0.1767</v>
      </c>
      <c r="AN65" s="22">
        <v>988.10799999999995</v>
      </c>
      <c r="AO65" s="22">
        <v>976.55100000000004</v>
      </c>
      <c r="AQ65" s="22">
        <v>0.88329999999999997</v>
      </c>
      <c r="AR65" s="22">
        <v>927.84400000000005</v>
      </c>
      <c r="AS65" s="22">
        <v>904.70029999999997</v>
      </c>
      <c r="AT65" s="22">
        <v>964.04449999999997</v>
      </c>
      <c r="AV65" s="40">
        <v>8.8300000000000003E-2</v>
      </c>
      <c r="AW65" s="22">
        <v>843.80250000000001</v>
      </c>
      <c r="AX65" s="22">
        <v>828.00049999999999</v>
      </c>
      <c r="AZ65" s="22">
        <v>0.44169999999999998</v>
      </c>
      <c r="BA65" s="22">
        <v>854.67219999999998</v>
      </c>
      <c r="BB65" s="22">
        <v>831.11120000000005</v>
      </c>
      <c r="BC65" s="22">
        <v>898.51769999999999</v>
      </c>
    </row>
    <row r="66" spans="39:55" x14ac:dyDescent="0.3">
      <c r="AM66" s="56">
        <v>0.18</v>
      </c>
      <c r="AN66" s="22">
        <v>999.81200000000001</v>
      </c>
      <c r="AO66" s="22">
        <v>988.44780000000003</v>
      </c>
      <c r="AQ66" s="22">
        <v>0.9</v>
      </c>
      <c r="AR66" s="22">
        <v>942.85599999999999</v>
      </c>
      <c r="AS66" s="22">
        <v>919.9778</v>
      </c>
      <c r="AT66" s="22">
        <v>978.36509999999998</v>
      </c>
      <c r="AV66" s="40">
        <v>0.09</v>
      </c>
      <c r="AW66" s="22">
        <v>843.85249999999996</v>
      </c>
      <c r="AX66" s="22">
        <v>828.07839999999999</v>
      </c>
      <c r="AZ66" s="22">
        <v>0.45</v>
      </c>
      <c r="BA66" s="22">
        <v>854.53660000000002</v>
      </c>
      <c r="BB66" s="22">
        <v>830.97919999999999</v>
      </c>
      <c r="BC66" s="22">
        <v>898.40520000000004</v>
      </c>
    </row>
    <row r="67" spans="39:55" x14ac:dyDescent="0.3">
      <c r="AM67" s="56">
        <v>0.18329999999999999</v>
      </c>
      <c r="AN67" s="22">
        <v>1012.0755</v>
      </c>
      <c r="AO67" s="22">
        <v>1000.8982</v>
      </c>
      <c r="AQ67" s="22">
        <v>0.91669999999999996</v>
      </c>
      <c r="AR67" s="22">
        <v>961.33759999999995</v>
      </c>
      <c r="AS67" s="22">
        <v>938.71559999999999</v>
      </c>
      <c r="AT67" s="22">
        <v>996.27769999999998</v>
      </c>
      <c r="AV67" s="40">
        <v>9.1700000000000004E-2</v>
      </c>
      <c r="AW67" s="22">
        <v>843.99940000000004</v>
      </c>
      <c r="AX67" s="22">
        <v>828.25530000000003</v>
      </c>
      <c r="AZ67" s="22">
        <v>0.45829999999999999</v>
      </c>
      <c r="BA67" s="22">
        <v>854.42380000000003</v>
      </c>
      <c r="BB67" s="22">
        <v>830.86929999999995</v>
      </c>
      <c r="BC67" s="22">
        <v>898.31140000000005</v>
      </c>
    </row>
    <row r="68" spans="39:55" x14ac:dyDescent="0.3">
      <c r="AM68" s="56">
        <v>0.1867</v>
      </c>
      <c r="AN68" s="22">
        <v>1024.9154000000001</v>
      </c>
      <c r="AO68" s="22">
        <v>1013.9168</v>
      </c>
      <c r="AQ68" s="22">
        <v>0.93330000000000002</v>
      </c>
      <c r="AR68" s="22">
        <v>984.30740000000003</v>
      </c>
      <c r="AS68" s="22">
        <v>961.85249999999996</v>
      </c>
      <c r="AT68" s="22">
        <v>1018.9212</v>
      </c>
      <c r="AV68" s="40">
        <v>9.3299999999999994E-2</v>
      </c>
      <c r="AW68" s="22">
        <v>844.24310000000003</v>
      </c>
      <c r="AX68" s="22">
        <v>828.53129999999999</v>
      </c>
      <c r="AZ68" s="22">
        <v>0.4667</v>
      </c>
      <c r="BA68" s="22">
        <v>854.33280000000002</v>
      </c>
      <c r="BB68" s="22">
        <v>830.78060000000005</v>
      </c>
      <c r="BC68" s="22">
        <v>898.23569999999995</v>
      </c>
    </row>
    <row r="69" spans="39:55" x14ac:dyDescent="0.3">
      <c r="AM69" s="56">
        <v>0.19</v>
      </c>
      <c r="AN69" s="22">
        <v>1038.3495</v>
      </c>
      <c r="AO69" s="22">
        <v>1027.5191</v>
      </c>
      <c r="AQ69" s="22">
        <v>0.95</v>
      </c>
      <c r="AR69" s="22">
        <v>1013.1943</v>
      </c>
      <c r="AS69" s="22">
        <v>990.65430000000003</v>
      </c>
      <c r="AT69" s="22">
        <v>1047.8322000000001</v>
      </c>
      <c r="AV69" s="40">
        <v>9.5000000000000001E-2</v>
      </c>
      <c r="AW69" s="22">
        <v>844.58370000000002</v>
      </c>
      <c r="AX69" s="22">
        <v>828.90629999999999</v>
      </c>
      <c r="AZ69" s="22">
        <v>0.47499999999999998</v>
      </c>
      <c r="BA69" s="22">
        <v>854.2627</v>
      </c>
      <c r="BB69" s="22">
        <v>830.71230000000003</v>
      </c>
      <c r="BC69" s="22">
        <v>898.17729999999995</v>
      </c>
    </row>
    <row r="70" spans="39:55" x14ac:dyDescent="0.3">
      <c r="AM70" s="56">
        <v>0.1933</v>
      </c>
      <c r="AN70" s="22">
        <v>1052.3091999999999</v>
      </c>
      <c r="AO70" s="22">
        <v>1041.7216000000001</v>
      </c>
      <c r="AQ70" s="22">
        <v>0.9667</v>
      </c>
      <c r="AR70" s="22">
        <v>1050.0589</v>
      </c>
      <c r="AS70" s="22">
        <v>1026.8621000000001</v>
      </c>
      <c r="AT70" s="22">
        <v>1083.5482999999999</v>
      </c>
      <c r="AV70" s="40">
        <v>9.6699999999999994E-2</v>
      </c>
      <c r="AW70" s="22">
        <v>845.02089999999998</v>
      </c>
      <c r="AX70" s="22">
        <v>829.38009999999997</v>
      </c>
      <c r="AZ70" s="22">
        <v>0.48330000000000001</v>
      </c>
      <c r="BA70" s="22">
        <v>854.21289999999999</v>
      </c>
      <c r="BB70" s="22">
        <v>830.66380000000004</v>
      </c>
      <c r="BC70" s="22">
        <v>898.13570000000004</v>
      </c>
    </row>
    <row r="71" spans="39:55" x14ac:dyDescent="0.3">
      <c r="AM71" s="56">
        <v>0.19670000000000001</v>
      </c>
      <c r="AN71" s="22">
        <v>1066.7478000000001</v>
      </c>
      <c r="AO71" s="22">
        <v>1056.4399000000001</v>
      </c>
      <c r="AQ71" s="22">
        <v>0.98329999999999995</v>
      </c>
      <c r="AR71" s="22">
        <v>1094.6741999999999</v>
      </c>
      <c r="AS71" s="22">
        <v>1072.9258</v>
      </c>
      <c r="AT71" s="22">
        <v>1125.3838000000001</v>
      </c>
      <c r="AV71" s="40">
        <v>9.8299999999999998E-2</v>
      </c>
      <c r="AW71" s="22">
        <v>845.55499999999995</v>
      </c>
      <c r="AX71" s="22">
        <v>829.9529</v>
      </c>
      <c r="AZ71" s="22">
        <v>0.49170000000000003</v>
      </c>
      <c r="BA71" s="22">
        <v>854.18299999999999</v>
      </c>
      <c r="BB71" s="22">
        <v>830.63469999999995</v>
      </c>
      <c r="BC71" s="22">
        <v>898.11080000000004</v>
      </c>
    </row>
    <row r="72" spans="39:55" x14ac:dyDescent="0.3">
      <c r="AM72" s="56">
        <v>0.2</v>
      </c>
      <c r="AN72" s="22">
        <v>1081.6155000000001</v>
      </c>
      <c r="AO72" s="22">
        <v>1071.6229000000001</v>
      </c>
      <c r="AQ72" s="22">
        <v>1</v>
      </c>
      <c r="AR72" s="22">
        <v>1144.9427000000001</v>
      </c>
      <c r="AS72" s="22">
        <v>1125.6846</v>
      </c>
      <c r="AT72" s="22">
        <v>1171.7061000000001</v>
      </c>
      <c r="AV72" s="40">
        <v>0.1</v>
      </c>
      <c r="AW72" s="22">
        <v>846.18589999999995</v>
      </c>
      <c r="AX72" s="22">
        <v>830.62469999999996</v>
      </c>
      <c r="AZ72" s="22">
        <v>0.5</v>
      </c>
      <c r="BA72" s="22">
        <v>854.17269999999996</v>
      </c>
      <c r="BB72" s="22">
        <v>830.62469999999996</v>
      </c>
      <c r="BC72" s="22">
        <v>898.10220000000004</v>
      </c>
    </row>
    <row r="73" spans="39:55" x14ac:dyDescent="0.3">
      <c r="AV73" s="40">
        <v>0.1017</v>
      </c>
      <c r="AW73" s="22">
        <v>846.91359999999997</v>
      </c>
      <c r="AX73" s="22">
        <v>831.3954</v>
      </c>
      <c r="AZ73" s="22">
        <v>0.50829999999999997</v>
      </c>
      <c r="BA73" s="22">
        <v>854.18190000000004</v>
      </c>
      <c r="BB73" s="22">
        <v>830.6336</v>
      </c>
      <c r="BC73" s="22">
        <v>898.10979999999995</v>
      </c>
    </row>
    <row r="74" spans="39:55" x14ac:dyDescent="0.3">
      <c r="AV74" s="40">
        <v>0.1033</v>
      </c>
      <c r="AW74" s="22">
        <v>847.73829999999998</v>
      </c>
      <c r="AX74" s="22">
        <v>832.26530000000002</v>
      </c>
      <c r="AZ74" s="22">
        <v>0.51670000000000005</v>
      </c>
      <c r="BA74" s="22">
        <v>854.21069999999997</v>
      </c>
      <c r="BB74" s="22">
        <v>830.6617</v>
      </c>
      <c r="BC74" s="22">
        <v>898.13390000000004</v>
      </c>
    </row>
    <row r="75" spans="39:55" x14ac:dyDescent="0.3">
      <c r="AV75" s="40">
        <v>0.105</v>
      </c>
      <c r="AW75" s="22">
        <v>848.66010000000006</v>
      </c>
      <c r="AX75" s="22">
        <v>833.23440000000005</v>
      </c>
      <c r="AZ75" s="22">
        <v>0.52500000000000002</v>
      </c>
      <c r="BA75" s="22">
        <v>854.25940000000003</v>
      </c>
      <c r="BB75" s="22">
        <v>830.70920000000001</v>
      </c>
      <c r="BC75" s="22">
        <v>898.17449999999997</v>
      </c>
    </row>
    <row r="76" spans="39:55" x14ac:dyDescent="0.3">
      <c r="AV76" s="40">
        <v>0.1067</v>
      </c>
      <c r="AW76" s="22">
        <v>849.67909999999995</v>
      </c>
      <c r="AX76" s="22">
        <v>834.30280000000005</v>
      </c>
      <c r="AZ76" s="22">
        <v>0.5333</v>
      </c>
      <c r="BA76" s="22">
        <v>854.32839999999999</v>
      </c>
      <c r="BB76" s="22">
        <v>830.77639999999997</v>
      </c>
      <c r="BC76" s="22">
        <v>898.2319</v>
      </c>
    </row>
    <row r="77" spans="39:55" x14ac:dyDescent="0.3">
      <c r="AV77" s="40">
        <v>0.10829999999999999</v>
      </c>
      <c r="AW77" s="22">
        <v>850.79560000000004</v>
      </c>
      <c r="AX77" s="22">
        <v>835.47080000000005</v>
      </c>
      <c r="AZ77" s="22">
        <v>0.54169999999999996</v>
      </c>
      <c r="BA77" s="22">
        <v>854.41830000000004</v>
      </c>
      <c r="BB77" s="22">
        <v>830.86400000000003</v>
      </c>
      <c r="BC77" s="22">
        <v>898.30669999999998</v>
      </c>
    </row>
    <row r="78" spans="39:55" x14ac:dyDescent="0.3">
      <c r="AV78" s="40">
        <v>0.11</v>
      </c>
      <c r="AW78" s="22">
        <v>852.00969999999995</v>
      </c>
      <c r="AX78" s="22">
        <v>836.73860000000002</v>
      </c>
      <c r="AZ78" s="22">
        <v>0.55000000000000004</v>
      </c>
      <c r="BA78" s="22">
        <v>854.5299</v>
      </c>
      <c r="BB78" s="22">
        <v>830.97270000000003</v>
      </c>
      <c r="BC78" s="22">
        <v>898.39949999999999</v>
      </c>
    </row>
    <row r="79" spans="39:55" x14ac:dyDescent="0.3">
      <c r="AV79" s="40">
        <v>0.11169999999999999</v>
      </c>
      <c r="AW79" s="22">
        <v>853.32159999999999</v>
      </c>
      <c r="AX79" s="22">
        <v>838.10619999999994</v>
      </c>
      <c r="AZ79" s="22">
        <v>0.55830000000000002</v>
      </c>
      <c r="BA79" s="22">
        <v>854.66420000000005</v>
      </c>
      <c r="BB79" s="22">
        <v>831.10350000000005</v>
      </c>
      <c r="BC79" s="22">
        <v>898.51099999999997</v>
      </c>
    </row>
    <row r="80" spans="39:55" x14ac:dyDescent="0.3">
      <c r="AV80" s="40">
        <v>0.1133</v>
      </c>
      <c r="AW80" s="22">
        <v>854.73170000000005</v>
      </c>
      <c r="AX80" s="22">
        <v>839.57420000000002</v>
      </c>
      <c r="AZ80" s="22">
        <v>0.56669999999999998</v>
      </c>
      <c r="BA80" s="22">
        <v>854.82240000000002</v>
      </c>
      <c r="BB80" s="22">
        <v>831.25760000000002</v>
      </c>
      <c r="BC80" s="22">
        <v>898.64229999999998</v>
      </c>
    </row>
    <row r="81" spans="48:55" x14ac:dyDescent="0.3">
      <c r="AV81" s="40">
        <v>0.115</v>
      </c>
      <c r="AW81" s="22">
        <v>856.24019999999996</v>
      </c>
      <c r="AX81" s="22">
        <v>841.14260000000002</v>
      </c>
      <c r="AZ81" s="22">
        <v>0.57499999999999996</v>
      </c>
      <c r="BA81" s="22">
        <v>855.0059</v>
      </c>
      <c r="BB81" s="22">
        <v>831.43629999999996</v>
      </c>
      <c r="BC81" s="22">
        <v>898.7944</v>
      </c>
    </row>
    <row r="82" spans="48:55" x14ac:dyDescent="0.3">
      <c r="AV82" s="40">
        <v>0.1167</v>
      </c>
      <c r="AW82" s="22">
        <v>857.84739999999999</v>
      </c>
      <c r="AX82" s="22">
        <v>842.81179999999995</v>
      </c>
      <c r="AZ82" s="22">
        <v>0.58330000000000004</v>
      </c>
      <c r="BA82" s="22">
        <v>855.21619999999996</v>
      </c>
      <c r="BB82" s="22">
        <v>831.64110000000005</v>
      </c>
      <c r="BC82" s="22">
        <v>898.96870000000001</v>
      </c>
    </row>
    <row r="83" spans="48:55" x14ac:dyDescent="0.3">
      <c r="AV83" s="40">
        <v>0.1183</v>
      </c>
      <c r="AW83" s="22">
        <v>859.55380000000002</v>
      </c>
      <c r="AX83" s="22">
        <v>844.58219999999994</v>
      </c>
      <c r="AZ83" s="22">
        <v>0.5917</v>
      </c>
      <c r="BA83" s="22">
        <v>855.45519999999999</v>
      </c>
      <c r="BB83" s="22">
        <v>831.87390000000005</v>
      </c>
      <c r="BC83" s="22">
        <v>899.16690000000006</v>
      </c>
    </row>
    <row r="84" spans="48:55" x14ac:dyDescent="0.3">
      <c r="AV84" s="40">
        <v>0.12</v>
      </c>
      <c r="AW84" s="22">
        <v>861.3596</v>
      </c>
      <c r="AX84" s="22">
        <v>846.45399999999995</v>
      </c>
      <c r="AZ84" s="22">
        <v>0.6</v>
      </c>
      <c r="BA84" s="22">
        <v>855.72490000000005</v>
      </c>
      <c r="BB84" s="22">
        <v>832.13670000000002</v>
      </c>
      <c r="BC84" s="22">
        <v>899.39049999999997</v>
      </c>
    </row>
    <row r="85" spans="48:55" x14ac:dyDescent="0.3">
      <c r="AV85" s="40">
        <v>0.1217</v>
      </c>
      <c r="AW85" s="22">
        <v>863.26530000000002</v>
      </c>
      <c r="AX85" s="22">
        <v>848.42790000000002</v>
      </c>
      <c r="AZ85" s="22">
        <v>0.60829999999999995</v>
      </c>
      <c r="BA85" s="22">
        <v>856.02750000000003</v>
      </c>
      <c r="BB85" s="22">
        <v>832.43169999999998</v>
      </c>
      <c r="BC85" s="22">
        <v>899.64170000000001</v>
      </c>
    </row>
    <row r="86" spans="48:55" x14ac:dyDescent="0.3">
      <c r="AV86" s="40">
        <v>0.12330000000000001</v>
      </c>
      <c r="AW86" s="22">
        <v>865.27139999999997</v>
      </c>
      <c r="AX86" s="22">
        <v>850.50400000000002</v>
      </c>
      <c r="AZ86" s="22">
        <v>0.61670000000000003</v>
      </c>
      <c r="BA86" s="22">
        <v>856.36559999999997</v>
      </c>
      <c r="BB86" s="22">
        <v>832.76139999999998</v>
      </c>
      <c r="BC86" s="22">
        <v>899.92250000000001</v>
      </c>
    </row>
    <row r="87" spans="48:55" x14ac:dyDescent="0.3">
      <c r="AV87" s="40">
        <v>0.125</v>
      </c>
      <c r="AW87" s="22">
        <v>867.37819999999999</v>
      </c>
      <c r="AX87" s="22">
        <v>852.68290000000002</v>
      </c>
      <c r="AZ87" s="22">
        <v>0.625</v>
      </c>
      <c r="BA87" s="22">
        <v>856.74199999999996</v>
      </c>
      <c r="BB87" s="22">
        <v>833.12850000000003</v>
      </c>
      <c r="BC87" s="22">
        <v>900.23559999999998</v>
      </c>
    </row>
    <row r="88" spans="48:55" x14ac:dyDescent="0.3">
      <c r="AV88" s="40">
        <v>0.12670000000000001</v>
      </c>
      <c r="AW88" s="22">
        <v>869.58640000000003</v>
      </c>
      <c r="AX88" s="22">
        <v>854.96519999999998</v>
      </c>
      <c r="AZ88" s="22">
        <v>0.63329999999999997</v>
      </c>
      <c r="BA88" s="22">
        <v>857.15980000000002</v>
      </c>
      <c r="BB88" s="22">
        <v>833.53620000000001</v>
      </c>
      <c r="BC88" s="22">
        <v>900.58349999999996</v>
      </c>
    </row>
    <row r="89" spans="48:55" x14ac:dyDescent="0.3">
      <c r="AV89" s="40">
        <v>0.1283</v>
      </c>
      <c r="AW89" s="22">
        <v>871.89639999999997</v>
      </c>
      <c r="AX89" s="22">
        <v>857.35119999999995</v>
      </c>
      <c r="AZ89" s="22">
        <v>0.64170000000000005</v>
      </c>
      <c r="BA89" s="22">
        <v>857.62239999999997</v>
      </c>
      <c r="BB89" s="22">
        <v>833.98789999999997</v>
      </c>
      <c r="BC89" s="22">
        <v>900.9692</v>
      </c>
    </row>
    <row r="90" spans="48:55" x14ac:dyDescent="0.3">
      <c r="AV90" s="40">
        <v>0.13</v>
      </c>
      <c r="AW90" s="22">
        <v>874.30889999999999</v>
      </c>
      <c r="AX90" s="22">
        <v>859.8415</v>
      </c>
      <c r="AZ90" s="22">
        <v>0.65</v>
      </c>
      <c r="BA90" s="22">
        <v>858.13340000000005</v>
      </c>
      <c r="BB90" s="22">
        <v>834.48720000000003</v>
      </c>
      <c r="BC90" s="22">
        <v>901.39599999999996</v>
      </c>
    </row>
    <row r="91" spans="48:55" x14ac:dyDescent="0.3">
      <c r="AV91" s="40">
        <v>0.13170000000000001</v>
      </c>
      <c r="AW91" s="22">
        <v>876.82429999999999</v>
      </c>
      <c r="AX91" s="22">
        <v>862.43679999999995</v>
      </c>
      <c r="AZ91" s="22">
        <v>0.6583</v>
      </c>
      <c r="BA91" s="22">
        <v>858.69680000000005</v>
      </c>
      <c r="BB91" s="22">
        <v>835.03809999999999</v>
      </c>
      <c r="BC91" s="22">
        <v>901.86760000000004</v>
      </c>
    </row>
    <row r="92" spans="48:55" x14ac:dyDescent="0.3">
      <c r="AV92" s="40">
        <v>0.1333</v>
      </c>
      <c r="AW92" s="22">
        <v>879.4434</v>
      </c>
      <c r="AX92" s="22">
        <v>865.13750000000005</v>
      </c>
      <c r="AZ92" s="22">
        <v>0.66669999999999996</v>
      </c>
      <c r="BA92" s="22">
        <v>859.31719999999996</v>
      </c>
      <c r="BB92" s="22">
        <v>835.64520000000005</v>
      </c>
      <c r="BC92" s="22">
        <v>902.38779999999997</v>
      </c>
    </row>
    <row r="93" spans="48:55" x14ac:dyDescent="0.3">
      <c r="AV93" s="40">
        <v>0.13500000000000001</v>
      </c>
      <c r="AW93" s="22">
        <v>882.16679999999997</v>
      </c>
      <c r="AX93" s="22">
        <v>867.94439999999997</v>
      </c>
      <c r="AZ93" s="22">
        <v>0.67500000000000004</v>
      </c>
      <c r="BA93" s="22">
        <v>859.99929999999995</v>
      </c>
      <c r="BB93" s="22">
        <v>836.31320000000005</v>
      </c>
      <c r="BC93" s="22">
        <v>902.96090000000004</v>
      </c>
    </row>
    <row r="94" spans="48:55" x14ac:dyDescent="0.3">
      <c r="AV94" s="40">
        <v>0.13669999999999999</v>
      </c>
      <c r="AW94" s="22">
        <v>884.99519999999995</v>
      </c>
      <c r="AX94" s="22">
        <v>870.85810000000004</v>
      </c>
      <c r="AZ94" s="22">
        <v>0.68330000000000002</v>
      </c>
      <c r="BA94" s="22">
        <v>860.74839999999995</v>
      </c>
      <c r="BB94" s="22">
        <v>837.04740000000004</v>
      </c>
      <c r="BC94" s="22">
        <v>903.59169999999995</v>
      </c>
    </row>
    <row r="95" spans="48:55" x14ac:dyDescent="0.3">
      <c r="AV95" s="40">
        <v>0.13830000000000001</v>
      </c>
      <c r="AW95" s="22">
        <v>887.92930000000001</v>
      </c>
      <c r="AX95" s="22">
        <v>873.87919999999997</v>
      </c>
      <c r="AZ95" s="22">
        <v>0.69169999999999998</v>
      </c>
      <c r="BA95" s="22">
        <v>861.57</v>
      </c>
      <c r="BB95" s="22">
        <v>837.85379999999998</v>
      </c>
      <c r="BC95" s="22">
        <v>904.28530000000001</v>
      </c>
    </row>
    <row r="96" spans="48:55" x14ac:dyDescent="0.3">
      <c r="AV96" s="40">
        <v>0.14000000000000001</v>
      </c>
      <c r="AW96" s="22">
        <v>890.96990000000005</v>
      </c>
      <c r="AX96" s="22">
        <v>877.0086</v>
      </c>
      <c r="AZ96" s="22">
        <v>0.7</v>
      </c>
      <c r="BA96" s="22">
        <v>862.47059999999999</v>
      </c>
      <c r="BB96" s="22">
        <v>838.73839999999996</v>
      </c>
      <c r="BC96" s="22">
        <v>905.04750000000001</v>
      </c>
    </row>
    <row r="97" spans="48:55" x14ac:dyDescent="0.3">
      <c r="AV97" s="40">
        <v>0.14169999999999999</v>
      </c>
      <c r="AW97" s="22">
        <v>894.11779999999999</v>
      </c>
      <c r="AX97" s="22">
        <v>880.24699999999996</v>
      </c>
      <c r="AZ97" s="22">
        <v>0.70830000000000004</v>
      </c>
      <c r="BA97" s="22">
        <v>863.45659999999998</v>
      </c>
      <c r="BB97" s="22">
        <v>839.70830000000001</v>
      </c>
      <c r="BC97" s="22">
        <v>905.88419999999996</v>
      </c>
    </row>
    <row r="98" spans="48:55" x14ac:dyDescent="0.3">
      <c r="AV98" s="40">
        <v>0.14330000000000001</v>
      </c>
      <c r="AW98" s="22">
        <v>897.37379999999996</v>
      </c>
      <c r="AX98" s="22">
        <v>883.5951</v>
      </c>
      <c r="AZ98" s="22">
        <v>0.7167</v>
      </c>
      <c r="BA98" s="22">
        <v>864.53560000000004</v>
      </c>
      <c r="BB98" s="22">
        <v>840.77099999999996</v>
      </c>
      <c r="BC98" s="22">
        <v>906.80229999999995</v>
      </c>
    </row>
    <row r="99" spans="48:55" x14ac:dyDescent="0.3">
      <c r="AV99" s="40">
        <v>0.14499999999999999</v>
      </c>
      <c r="AW99" s="22">
        <v>900.73879999999997</v>
      </c>
      <c r="AX99" s="22">
        <v>887.05380000000002</v>
      </c>
      <c r="AZ99" s="22">
        <v>0.72499999999999998</v>
      </c>
      <c r="BA99" s="22">
        <v>865.71550000000002</v>
      </c>
      <c r="BB99" s="22">
        <v>841.93460000000005</v>
      </c>
      <c r="BC99" s="22">
        <v>907.80880000000002</v>
      </c>
    </row>
    <row r="100" spans="48:55" x14ac:dyDescent="0.3">
      <c r="AV100" s="40">
        <v>0.1467</v>
      </c>
      <c r="AW100" s="22">
        <v>904.21370000000002</v>
      </c>
      <c r="AX100" s="22">
        <v>890.62400000000002</v>
      </c>
      <c r="AZ100" s="22">
        <v>0.73329999999999995</v>
      </c>
      <c r="BA100" s="22">
        <v>867.00490000000002</v>
      </c>
      <c r="BB100" s="22">
        <v>843.20830000000001</v>
      </c>
      <c r="BC100" s="22">
        <v>908.91179999999997</v>
      </c>
    </row>
    <row r="101" spans="48:55" x14ac:dyDescent="0.3">
      <c r="AV101" s="40">
        <v>0.14829999999999999</v>
      </c>
      <c r="AW101" s="22">
        <v>907.79949999999997</v>
      </c>
      <c r="AX101" s="22">
        <v>894.30640000000005</v>
      </c>
      <c r="AZ101" s="22">
        <v>0.74170000000000003</v>
      </c>
      <c r="BA101" s="22">
        <v>868.41340000000002</v>
      </c>
      <c r="BB101" s="22">
        <v>844.60180000000003</v>
      </c>
      <c r="BC101" s="22">
        <v>910.12040000000002</v>
      </c>
    </row>
    <row r="102" spans="48:55" x14ac:dyDescent="0.3">
      <c r="AV102" s="40">
        <v>0.15</v>
      </c>
      <c r="AW102" s="22">
        <v>911.49710000000005</v>
      </c>
      <c r="AX102" s="22">
        <v>898.10220000000004</v>
      </c>
      <c r="AZ102" s="22">
        <v>0.75</v>
      </c>
      <c r="BA102" s="22">
        <v>869.95119999999997</v>
      </c>
      <c r="BB102" s="22">
        <v>846.12609999999995</v>
      </c>
      <c r="BC102" s="22">
        <v>911.44460000000004</v>
      </c>
    </row>
    <row r="103" spans="48:55" x14ac:dyDescent="0.3">
      <c r="AV103" s="40">
        <v>0.1517</v>
      </c>
      <c r="AW103" s="22">
        <v>915.30759999999998</v>
      </c>
      <c r="AX103" s="22">
        <v>902.01210000000003</v>
      </c>
      <c r="AZ103" s="22">
        <v>0.75829999999999997</v>
      </c>
      <c r="BA103" s="22">
        <v>871.62990000000002</v>
      </c>
      <c r="BB103" s="22">
        <v>847.79309999999998</v>
      </c>
      <c r="BC103" s="22">
        <v>912.89530000000002</v>
      </c>
    </row>
    <row r="104" spans="48:55" x14ac:dyDescent="0.3">
      <c r="AV104" s="40">
        <v>0.15329999999999999</v>
      </c>
      <c r="AW104" s="22">
        <v>919.23199999999997</v>
      </c>
      <c r="AX104" s="22">
        <v>906.03719999999998</v>
      </c>
      <c r="AZ104" s="22">
        <v>0.76670000000000005</v>
      </c>
      <c r="BA104" s="22">
        <v>873.46169999999995</v>
      </c>
      <c r="BB104" s="22">
        <v>849.61580000000004</v>
      </c>
      <c r="BC104" s="22">
        <v>914.48479999999995</v>
      </c>
    </row>
    <row r="105" spans="48:55" x14ac:dyDescent="0.3">
      <c r="AV105" s="40">
        <v>0.155</v>
      </c>
      <c r="AW105" s="22">
        <v>923.27149999999995</v>
      </c>
      <c r="AX105" s="22">
        <v>910.17859999999996</v>
      </c>
      <c r="AZ105" s="22">
        <v>0.77500000000000002</v>
      </c>
      <c r="BA105" s="22">
        <v>875.46040000000005</v>
      </c>
      <c r="BB105" s="22">
        <v>851.60879999999997</v>
      </c>
      <c r="BC105" s="22">
        <v>916.22649999999999</v>
      </c>
    </row>
    <row r="106" spans="48:55" x14ac:dyDescent="0.3">
      <c r="AV106" s="40">
        <v>0.15670000000000001</v>
      </c>
      <c r="AW106" s="22">
        <v>927.4271</v>
      </c>
      <c r="AX106" s="22">
        <v>914.43730000000005</v>
      </c>
      <c r="AZ106" s="22">
        <v>0.7833</v>
      </c>
      <c r="BA106" s="22">
        <v>877.64120000000003</v>
      </c>
      <c r="BB106" s="22">
        <v>853.78809999999999</v>
      </c>
      <c r="BC106" s="22">
        <v>918.13530000000003</v>
      </c>
    </row>
    <row r="107" spans="48:55" x14ac:dyDescent="0.3">
      <c r="AV107" s="40">
        <v>0.1583</v>
      </c>
      <c r="AW107" s="22">
        <v>931.70010000000002</v>
      </c>
      <c r="AX107" s="22">
        <v>918.8143</v>
      </c>
      <c r="AZ107" s="22">
        <v>0.79169999999999996</v>
      </c>
      <c r="BA107" s="22">
        <v>880.02059999999994</v>
      </c>
      <c r="BB107" s="22">
        <v>856.17150000000004</v>
      </c>
      <c r="BC107" s="22">
        <v>920.22810000000004</v>
      </c>
    </row>
    <row r="108" spans="48:55" x14ac:dyDescent="0.3">
      <c r="AV108" s="40">
        <v>0.16</v>
      </c>
      <c r="AW108" s="22">
        <v>936.09169999999995</v>
      </c>
      <c r="AX108" s="22">
        <v>923.31100000000004</v>
      </c>
      <c r="AZ108" s="22">
        <v>0.8</v>
      </c>
      <c r="BA108" s="22">
        <v>882.61739999999998</v>
      </c>
      <c r="BB108" s="22">
        <v>858.77859999999998</v>
      </c>
      <c r="BC108" s="22">
        <v>922.52340000000004</v>
      </c>
    </row>
    <row r="109" spans="48:55" x14ac:dyDescent="0.3">
      <c r="AV109" s="40">
        <v>0.16170000000000001</v>
      </c>
      <c r="AW109" s="22">
        <v>940.60329999999999</v>
      </c>
      <c r="AX109" s="22">
        <v>927.92830000000004</v>
      </c>
      <c r="AZ109" s="22">
        <v>0.80830000000000002</v>
      </c>
      <c r="BA109" s="22">
        <v>885.45219999999995</v>
      </c>
      <c r="BB109" s="22">
        <v>861.63149999999996</v>
      </c>
      <c r="BC109" s="22">
        <v>925.04250000000002</v>
      </c>
    </row>
    <row r="110" spans="48:55" x14ac:dyDescent="0.3">
      <c r="AV110" s="40">
        <v>0.1633</v>
      </c>
      <c r="AW110" s="22">
        <v>945.23609999999996</v>
      </c>
      <c r="AX110" s="22">
        <v>932.66769999999997</v>
      </c>
      <c r="AZ110" s="22">
        <v>0.81669999999999998</v>
      </c>
      <c r="BA110" s="22">
        <v>888.54830000000004</v>
      </c>
      <c r="BB110" s="22">
        <v>864.75459999999998</v>
      </c>
      <c r="BC110" s="22">
        <v>927.80920000000003</v>
      </c>
    </row>
    <row r="111" spans="48:55" x14ac:dyDescent="0.3">
      <c r="AV111" s="40">
        <v>0.16500000000000001</v>
      </c>
      <c r="AW111" s="22">
        <v>949.9914</v>
      </c>
      <c r="AX111" s="22">
        <v>937.53020000000004</v>
      </c>
      <c r="AZ111" s="22">
        <v>0.82499999999999996</v>
      </c>
      <c r="BA111" s="22">
        <v>891.93190000000004</v>
      </c>
      <c r="BB111" s="22">
        <v>868.17529999999999</v>
      </c>
      <c r="BC111" s="22">
        <v>930.85059999999999</v>
      </c>
    </row>
    <row r="112" spans="48:55" x14ac:dyDescent="0.3">
      <c r="AV112" s="40">
        <v>0.16669999999999999</v>
      </c>
      <c r="AW112" s="22">
        <v>954.87090000000001</v>
      </c>
      <c r="AX112" s="22">
        <v>942.51729999999998</v>
      </c>
      <c r="AZ112" s="22">
        <v>0.83330000000000004</v>
      </c>
      <c r="BA112" s="22">
        <v>895.63239999999996</v>
      </c>
      <c r="BB112" s="22">
        <v>871.92449999999997</v>
      </c>
      <c r="BC112" s="22">
        <v>934.197</v>
      </c>
    </row>
    <row r="113" spans="48:55" x14ac:dyDescent="0.3">
      <c r="AV113" s="40">
        <v>0.16830000000000001</v>
      </c>
      <c r="AW113" s="22">
        <v>959.8759</v>
      </c>
      <c r="AX113" s="22">
        <v>947.63030000000003</v>
      </c>
      <c r="AZ113" s="22">
        <v>0.8417</v>
      </c>
      <c r="BA113" s="22">
        <v>899.68340000000001</v>
      </c>
      <c r="BB113" s="22">
        <v>876.03650000000005</v>
      </c>
      <c r="BC113" s="22">
        <v>937.8836</v>
      </c>
    </row>
    <row r="114" spans="48:55" x14ac:dyDescent="0.3">
      <c r="AV114" s="40">
        <v>0.17</v>
      </c>
      <c r="AW114" s="22">
        <v>965.00789999999995</v>
      </c>
      <c r="AX114" s="22">
        <v>952.87059999999997</v>
      </c>
      <c r="AZ114" s="22">
        <v>0.85</v>
      </c>
      <c r="BA114" s="22">
        <v>904.12300000000005</v>
      </c>
      <c r="BB114" s="22">
        <v>880.55029999999999</v>
      </c>
      <c r="BC114" s="22">
        <v>941.9502</v>
      </c>
    </row>
    <row r="115" spans="48:55" x14ac:dyDescent="0.3">
      <c r="AV115" s="40">
        <v>0.17169999999999999</v>
      </c>
      <c r="AW115" s="22">
        <v>970.26859999999999</v>
      </c>
      <c r="AX115" s="22">
        <v>958.23969999999997</v>
      </c>
      <c r="AZ115" s="22">
        <v>0.85829999999999995</v>
      </c>
      <c r="BA115" s="22">
        <v>908.99480000000005</v>
      </c>
      <c r="BB115" s="22">
        <v>885.50959999999998</v>
      </c>
      <c r="BC115" s="22">
        <v>946.4425</v>
      </c>
    </row>
    <row r="116" spans="48:55" x14ac:dyDescent="0.3">
      <c r="AV116" s="40">
        <v>0.17330000000000001</v>
      </c>
      <c r="AW116" s="22">
        <v>975.65970000000004</v>
      </c>
      <c r="AX116" s="22">
        <v>963.73889999999994</v>
      </c>
      <c r="AZ116" s="22">
        <v>0.86670000000000003</v>
      </c>
      <c r="BA116" s="22">
        <v>914.34860000000003</v>
      </c>
      <c r="BB116" s="22">
        <v>890.96400000000006</v>
      </c>
      <c r="BC116" s="22">
        <v>951.4126</v>
      </c>
    </row>
    <row r="117" spans="48:55" x14ac:dyDescent="0.3">
      <c r="AV117" s="40">
        <v>0.17499999999999999</v>
      </c>
      <c r="AW117" s="22">
        <v>981.18269999999995</v>
      </c>
      <c r="AX117" s="22">
        <v>969.37</v>
      </c>
      <c r="AZ117" s="22">
        <v>0.875</v>
      </c>
      <c r="BA117" s="22">
        <v>920.24120000000005</v>
      </c>
      <c r="BB117" s="22">
        <v>896.96950000000004</v>
      </c>
      <c r="BC117" s="22">
        <v>956.92079999999999</v>
      </c>
    </row>
    <row r="118" spans="48:55" x14ac:dyDescent="0.3">
      <c r="AV118" s="40">
        <v>0.1767</v>
      </c>
      <c r="AW118" s="22">
        <v>986.83950000000004</v>
      </c>
      <c r="AX118" s="22">
        <v>975.13430000000005</v>
      </c>
      <c r="AZ118" s="22">
        <v>0.88329999999999997</v>
      </c>
      <c r="BA118" s="22">
        <v>926.73800000000006</v>
      </c>
      <c r="BB118" s="22">
        <v>903.58969999999999</v>
      </c>
      <c r="BC118" s="22">
        <v>963.03660000000002</v>
      </c>
    </row>
    <row r="119" spans="48:55" x14ac:dyDescent="0.3">
      <c r="AV119" s="40">
        <v>0.17829999999999999</v>
      </c>
      <c r="AW119" s="22">
        <v>992.63189999999997</v>
      </c>
      <c r="AX119" s="22">
        <v>981.03369999999995</v>
      </c>
      <c r="AZ119" s="22">
        <v>0.89170000000000005</v>
      </c>
      <c r="BA119" s="22">
        <v>933.91390000000001</v>
      </c>
      <c r="BB119" s="22">
        <v>910.89729999999997</v>
      </c>
      <c r="BC119" s="22">
        <v>969.84090000000003</v>
      </c>
    </row>
    <row r="120" spans="48:55" x14ac:dyDescent="0.3">
      <c r="AV120" s="40">
        <v>0.18</v>
      </c>
      <c r="AW120" s="22">
        <v>998.56179999999995</v>
      </c>
      <c r="AX120" s="22">
        <v>987.06979999999999</v>
      </c>
      <c r="AZ120" s="22">
        <v>0.9</v>
      </c>
      <c r="BA120" s="22">
        <v>941.85530000000006</v>
      </c>
      <c r="BB120" s="22">
        <v>918.9751</v>
      </c>
      <c r="BC120" s="22">
        <v>977.42819999999995</v>
      </c>
    </row>
    <row r="121" spans="48:55" x14ac:dyDescent="0.3">
      <c r="AV121" s="40">
        <v>0.1817</v>
      </c>
      <c r="AW121" s="22">
        <v>1004.6312</v>
      </c>
      <c r="AX121" s="22">
        <v>993.24419999999998</v>
      </c>
      <c r="AZ121" s="22">
        <v>0.9083</v>
      </c>
      <c r="BA121" s="22">
        <v>950.6626</v>
      </c>
      <c r="BB121" s="22">
        <v>927.91790000000003</v>
      </c>
      <c r="BC121" s="22">
        <v>985.90909999999997</v>
      </c>
    </row>
    <row r="122" spans="48:55" x14ac:dyDescent="0.3">
      <c r="AV122" s="40">
        <v>0.18329999999999999</v>
      </c>
      <c r="AW122" s="22">
        <v>1010.8419</v>
      </c>
      <c r="AX122" s="22">
        <v>999.55889999999999</v>
      </c>
      <c r="AZ122" s="22">
        <v>0.91669999999999996</v>
      </c>
      <c r="BA122" s="22">
        <v>960.45219999999995</v>
      </c>
      <c r="BB122" s="22">
        <v>937.83510000000001</v>
      </c>
      <c r="BC122" s="22">
        <v>995.41279999999995</v>
      </c>
    </row>
    <row r="123" spans="48:55" x14ac:dyDescent="0.3">
      <c r="AV123" s="40">
        <v>0.185</v>
      </c>
      <c r="AW123" s="22">
        <v>1017.1963</v>
      </c>
      <c r="AX123" s="22">
        <v>1006.0155999999999</v>
      </c>
      <c r="AZ123" s="22">
        <v>0.92500000000000004</v>
      </c>
      <c r="BA123" s="22">
        <v>971.36080000000004</v>
      </c>
      <c r="BB123" s="22">
        <v>948.85350000000005</v>
      </c>
      <c r="BC123" s="22">
        <v>1006.093</v>
      </c>
    </row>
    <row r="124" spans="48:55" x14ac:dyDescent="0.3">
      <c r="AV124" s="40">
        <v>0.1867</v>
      </c>
      <c r="AW124" s="22">
        <v>1023.6963</v>
      </c>
      <c r="AX124" s="22">
        <v>1012.6162</v>
      </c>
      <c r="AZ124" s="22">
        <v>0.93330000000000002</v>
      </c>
      <c r="BA124" s="22">
        <v>983.5498</v>
      </c>
      <c r="BB124" s="22">
        <v>961.12070000000006</v>
      </c>
      <c r="BC124" s="22">
        <v>1018.136</v>
      </c>
    </row>
    <row r="125" spans="48:55" x14ac:dyDescent="0.3">
      <c r="AV125" s="40">
        <v>0.1883</v>
      </c>
      <c r="AW125" s="22">
        <v>1030.3443</v>
      </c>
      <c r="AX125" s="22">
        <v>1019.3628</v>
      </c>
      <c r="AZ125" s="22">
        <v>0.94169999999999998</v>
      </c>
      <c r="BA125" s="22">
        <v>997.21079999999995</v>
      </c>
      <c r="BB125" s="22">
        <v>974.81020000000001</v>
      </c>
      <c r="BC125" s="22">
        <v>1031.7682</v>
      </c>
    </row>
    <row r="126" spans="48:55" x14ac:dyDescent="0.3">
      <c r="AV126" s="40">
        <v>0.19</v>
      </c>
      <c r="AW126" s="22">
        <v>1037.1424999999999</v>
      </c>
      <c r="AX126" s="22">
        <v>1026.2572</v>
      </c>
      <c r="AZ126" s="22">
        <v>0.95</v>
      </c>
      <c r="BA126" s="22">
        <v>1012.5752</v>
      </c>
      <c r="BB126" s="22">
        <v>990.12760000000003</v>
      </c>
      <c r="BC126" s="22">
        <v>1047.1605</v>
      </c>
    </row>
    <row r="127" spans="48:55" x14ac:dyDescent="0.3">
      <c r="AV127" s="40">
        <v>0.19170000000000001</v>
      </c>
      <c r="AW127" s="22">
        <v>1044.0727999999999</v>
      </c>
      <c r="AX127" s="22">
        <v>1033.3016</v>
      </c>
      <c r="AZ127" s="22">
        <v>0.95830000000000004</v>
      </c>
      <c r="BA127" s="22">
        <v>1029.9235000000001</v>
      </c>
      <c r="BB127" s="22">
        <v>1007.3193</v>
      </c>
      <c r="BC127" s="22">
        <v>1064.2301</v>
      </c>
    </row>
    <row r="128" spans="48:55" x14ac:dyDescent="0.3">
      <c r="AV128" s="40">
        <v>0.1933</v>
      </c>
      <c r="AW128" s="22">
        <v>1051.1296</v>
      </c>
      <c r="AX128" s="22">
        <v>1040.4824000000001</v>
      </c>
      <c r="AZ128" s="22">
        <v>0.9667</v>
      </c>
      <c r="BA128" s="22">
        <v>1049.4971</v>
      </c>
      <c r="BB128" s="22">
        <v>1026.6832999999999</v>
      </c>
      <c r="BC128" s="22">
        <v>1082.9358</v>
      </c>
    </row>
    <row r="129" spans="48:55" x14ac:dyDescent="0.3">
      <c r="AV129" s="40">
        <v>0.19500000000000001</v>
      </c>
      <c r="AW129" s="22">
        <v>1058.3067000000001</v>
      </c>
      <c r="AX129" s="22">
        <v>1047.7935</v>
      </c>
      <c r="AZ129" s="22">
        <v>0.97499999999999998</v>
      </c>
      <c r="BA129" s="22">
        <v>1070.9544000000001</v>
      </c>
      <c r="BB129" s="22">
        <v>1048.5942</v>
      </c>
      <c r="BC129" s="22">
        <v>1103.1659999999999</v>
      </c>
    </row>
    <row r="130" spans="48:55" x14ac:dyDescent="0.3">
      <c r="AV130" s="40">
        <v>0.19670000000000001</v>
      </c>
      <c r="AW130" s="22">
        <v>1065.5981999999999</v>
      </c>
      <c r="AX130" s="22">
        <v>1055.2284999999999</v>
      </c>
      <c r="AZ130" s="22">
        <v>0.98329999999999995</v>
      </c>
      <c r="BA130" s="22">
        <v>1094.0954999999999</v>
      </c>
      <c r="BB130" s="22">
        <v>1072.5161000000001</v>
      </c>
      <c r="BC130" s="22">
        <v>1124.7399</v>
      </c>
    </row>
    <row r="131" spans="48:55" x14ac:dyDescent="0.3">
      <c r="AV131" s="40">
        <v>0.1983</v>
      </c>
      <c r="AW131" s="22">
        <v>1072.9975999999999</v>
      </c>
      <c r="AX131" s="22">
        <v>1062.7809</v>
      </c>
      <c r="AZ131" s="22">
        <v>0.99170000000000003</v>
      </c>
      <c r="BA131" s="22">
        <v>1118.6273000000001</v>
      </c>
      <c r="BB131" s="22">
        <v>1098.1223</v>
      </c>
      <c r="BC131" s="22">
        <v>1147.4267</v>
      </c>
    </row>
    <row r="132" spans="48:55" x14ac:dyDescent="0.3">
      <c r="AV132" s="40">
        <v>0.2</v>
      </c>
      <c r="AW132" s="22">
        <v>1080.4984999999999</v>
      </c>
      <c r="AX132" s="22">
        <v>1070.444</v>
      </c>
      <c r="AZ132" s="22">
        <v>1</v>
      </c>
      <c r="BA132" s="22">
        <v>1144.2319</v>
      </c>
      <c r="BB132" s="22">
        <v>1125.0419999999999</v>
      </c>
      <c r="BC132" s="22">
        <v>1170.9974</v>
      </c>
    </row>
  </sheetData>
  <mergeCells count="12">
    <mergeCell ref="W2:AA2"/>
    <mergeCell ref="C2:D2"/>
    <mergeCell ref="E2:I2"/>
    <mergeCell ref="L2:M2"/>
    <mergeCell ref="N2:R2"/>
    <mergeCell ref="U2:V2"/>
    <mergeCell ref="AY2:BC2"/>
    <mergeCell ref="AN2:AO2"/>
    <mergeCell ref="AP2:AT2"/>
    <mergeCell ref="AW2:AX2"/>
    <mergeCell ref="AE2:AF2"/>
    <mergeCell ref="AG2:AK2"/>
  </mergeCells>
  <dataValidations disablePrompts="1" count="1">
    <dataValidation type="list" allowBlank="1" showInputMessage="1" showErrorMessage="1" sqref="AO6 M6 D6 AF6 AX6 V6">
      <formula1>$AT$3:$AT$6</formula1>
    </dataValidation>
  </dataValidation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>
    <tabColor rgb="FFFF0000"/>
  </sheetPr>
  <dimension ref="B1:AS42"/>
  <sheetViews>
    <sheetView showGridLines="0" topLeftCell="AH6" workbookViewId="0">
      <selection activeCell="AP12" sqref="AP12:AP42"/>
    </sheetView>
  </sheetViews>
  <sheetFormatPr defaultColWidth="15.69921875" defaultRowHeight="15.6" x14ac:dyDescent="0.3"/>
  <cols>
    <col min="2" max="2" width="15.69921875" style="54"/>
  </cols>
  <sheetData>
    <row r="1" spans="2:45" ht="16.2" thickBot="1" x14ac:dyDescent="0.35"/>
    <row r="2" spans="2:45" ht="16.2" thickBot="1" x14ac:dyDescent="0.35">
      <c r="B2" s="66"/>
      <c r="C2" s="57" t="s">
        <v>19</v>
      </c>
      <c r="D2" s="57"/>
      <c r="E2" s="58" t="str">
        <f>"TDMA with ADI " &amp; D4 &amp; "x" &amp; E4 &amp; " - " &amp; D5 &amp; "s"</f>
        <v>TDMA with ADI 3x3 - 200s</v>
      </c>
      <c r="F2" s="58"/>
      <c r="G2" s="58"/>
      <c r="H2" s="58"/>
      <c r="I2" s="59"/>
      <c r="K2" s="66"/>
      <c r="L2" s="57" t="s">
        <v>19</v>
      </c>
      <c r="M2" s="57"/>
      <c r="N2" s="58" t="str">
        <f>"TDMA with ADI " &amp; M4 &amp; "x" &amp; N4 &amp; " - " &amp; M5 &amp; "s"</f>
        <v>TDMA with ADI 5x5 - 200s</v>
      </c>
      <c r="O2" s="58"/>
      <c r="P2" s="58"/>
      <c r="Q2" s="58"/>
      <c r="R2" s="59"/>
      <c r="S2" s="41"/>
      <c r="T2" s="66"/>
      <c r="U2" s="57" t="s">
        <v>19</v>
      </c>
      <c r="V2" s="57"/>
      <c r="W2" s="58" t="str">
        <f>"TDMA with ADI " &amp; V4 &amp; "x" &amp; W4 &amp; " - " &amp; V5 &amp; "s"</f>
        <v>TDMA with ADI 7x7 - 200s</v>
      </c>
      <c r="X2" s="58"/>
      <c r="Y2" s="58"/>
      <c r="Z2" s="58"/>
      <c r="AA2" s="59"/>
      <c r="AC2" s="66"/>
      <c r="AD2" s="57" t="s">
        <v>19</v>
      </c>
      <c r="AE2" s="57"/>
      <c r="AF2" s="58" t="str">
        <f>"TDMA with ADI " &amp; AE4 &amp; "x" &amp; AF4 &amp; " - " &amp; AE5 &amp; "s"</f>
        <v>TDMA with ADI 15x15 - 200s</v>
      </c>
      <c r="AG2" s="58"/>
      <c r="AH2" s="58"/>
      <c r="AI2" s="58"/>
      <c r="AJ2" s="59"/>
      <c r="AL2" s="66"/>
      <c r="AM2" s="57" t="s">
        <v>19</v>
      </c>
      <c r="AN2" s="57"/>
      <c r="AO2" s="58" t="str">
        <f>"TDMA with ADI " &amp; AN4 &amp; "x" &amp; AO4 &amp; " - " &amp; AN5 &amp; "s"</f>
        <v>TDMA with ADI 31x31 - 200s</v>
      </c>
      <c r="AP2" s="58"/>
      <c r="AQ2" s="58"/>
      <c r="AR2" s="58"/>
      <c r="AS2" s="59"/>
    </row>
    <row r="3" spans="2:45" x14ac:dyDescent="0.3">
      <c r="B3" s="12"/>
      <c r="C3" s="3"/>
      <c r="D3" s="31" t="s">
        <v>6</v>
      </c>
      <c r="E3" s="30" t="s">
        <v>7</v>
      </c>
      <c r="F3" s="60"/>
      <c r="G3" s="60"/>
      <c r="H3" s="60"/>
      <c r="I3" s="61"/>
      <c r="K3" s="12"/>
      <c r="L3" s="3"/>
      <c r="M3" s="31" t="s">
        <v>6</v>
      </c>
      <c r="N3" s="30" t="s">
        <v>7</v>
      </c>
      <c r="O3" s="60"/>
      <c r="P3" s="60"/>
      <c r="Q3" s="60"/>
      <c r="R3" s="61"/>
      <c r="S3" s="60"/>
      <c r="T3" s="12"/>
      <c r="U3" s="3"/>
      <c r="V3" s="31" t="s">
        <v>6</v>
      </c>
      <c r="W3" s="30" t="s">
        <v>7</v>
      </c>
      <c r="X3" s="60"/>
      <c r="Y3" s="60"/>
      <c r="Z3" s="60"/>
      <c r="AA3" s="61"/>
      <c r="AC3" s="12"/>
      <c r="AD3" s="3"/>
      <c r="AE3" s="31" t="s">
        <v>6</v>
      </c>
      <c r="AF3" s="30" t="s">
        <v>7</v>
      </c>
      <c r="AG3" s="60"/>
      <c r="AH3" s="60"/>
      <c r="AI3" s="60"/>
      <c r="AJ3" s="61"/>
      <c r="AL3" s="12"/>
      <c r="AM3" s="3"/>
      <c r="AN3" s="31" t="s">
        <v>6</v>
      </c>
      <c r="AO3" s="30" t="s">
        <v>7</v>
      </c>
      <c r="AP3" s="60"/>
      <c r="AQ3" s="60"/>
      <c r="AR3" s="60"/>
      <c r="AS3" s="61"/>
    </row>
    <row r="4" spans="2:45" ht="16.2" thickBot="1" x14ac:dyDescent="0.35">
      <c r="B4" s="12"/>
      <c r="C4" s="25" t="s">
        <v>13</v>
      </c>
      <c r="D4" s="33">
        <v>3</v>
      </c>
      <c r="E4" s="34">
        <v>3</v>
      </c>
      <c r="F4" s="60"/>
      <c r="G4" s="60"/>
      <c r="H4" s="60"/>
      <c r="I4" s="61"/>
      <c r="K4" s="12"/>
      <c r="L4" s="25" t="s">
        <v>13</v>
      </c>
      <c r="M4" s="33">
        <v>5</v>
      </c>
      <c r="N4" s="34">
        <v>5</v>
      </c>
      <c r="O4" s="60"/>
      <c r="P4" s="60"/>
      <c r="Q4" s="60"/>
      <c r="R4" s="61"/>
      <c r="S4" s="60"/>
      <c r="T4" s="12"/>
      <c r="U4" s="25" t="s">
        <v>13</v>
      </c>
      <c r="V4" s="33">
        <v>7</v>
      </c>
      <c r="W4" s="34">
        <v>7</v>
      </c>
      <c r="X4" s="60"/>
      <c r="Y4" s="60"/>
      <c r="Z4" s="60"/>
      <c r="AA4" s="61"/>
      <c r="AC4" s="12"/>
      <c r="AD4" s="25" t="s">
        <v>13</v>
      </c>
      <c r="AE4" s="33">
        <v>15</v>
      </c>
      <c r="AF4" s="34">
        <v>15</v>
      </c>
      <c r="AG4" s="60"/>
      <c r="AH4" s="60"/>
      <c r="AI4" s="60"/>
      <c r="AJ4" s="61"/>
      <c r="AL4" s="12"/>
      <c r="AM4" s="25" t="s">
        <v>13</v>
      </c>
      <c r="AN4" s="33">
        <v>31</v>
      </c>
      <c r="AO4" s="34">
        <v>31</v>
      </c>
      <c r="AP4" s="60"/>
      <c r="AQ4" s="60"/>
      <c r="AR4" s="60"/>
      <c r="AS4" s="61"/>
    </row>
    <row r="5" spans="2:45" x14ac:dyDescent="0.3">
      <c r="B5" s="12"/>
      <c r="C5" s="26" t="s">
        <v>14</v>
      </c>
      <c r="D5" s="35">
        <v>200</v>
      </c>
      <c r="E5" s="60"/>
      <c r="F5" s="60"/>
      <c r="G5" s="60"/>
      <c r="H5" s="60"/>
      <c r="I5" s="61"/>
      <c r="K5" s="12"/>
      <c r="L5" s="26" t="s">
        <v>14</v>
      </c>
      <c r="M5" s="35">
        <v>200</v>
      </c>
      <c r="N5" s="60"/>
      <c r="O5" s="60"/>
      <c r="P5" s="60"/>
      <c r="Q5" s="60"/>
      <c r="R5" s="61"/>
      <c r="S5" s="60"/>
      <c r="T5" s="12"/>
      <c r="U5" s="26" t="s">
        <v>14</v>
      </c>
      <c r="V5" s="35">
        <v>200</v>
      </c>
      <c r="W5" s="60"/>
      <c r="X5" s="60"/>
      <c r="Y5" s="60"/>
      <c r="Z5" s="60"/>
      <c r="AA5" s="61"/>
      <c r="AC5" s="12"/>
      <c r="AD5" s="26" t="s">
        <v>14</v>
      </c>
      <c r="AE5" s="35">
        <v>200</v>
      </c>
      <c r="AF5" s="60"/>
      <c r="AG5" s="60"/>
      <c r="AH5" s="60"/>
      <c r="AI5" s="60"/>
      <c r="AJ5" s="61"/>
      <c r="AL5" s="12"/>
      <c r="AM5" s="26" t="s">
        <v>14</v>
      </c>
      <c r="AN5" s="35">
        <v>200</v>
      </c>
      <c r="AO5" s="60"/>
      <c r="AP5" s="60"/>
      <c r="AQ5" s="60"/>
      <c r="AR5" s="60"/>
      <c r="AS5" s="61"/>
    </row>
    <row r="6" spans="2:45" x14ac:dyDescent="0.3">
      <c r="B6" s="12"/>
      <c r="C6" s="26" t="s">
        <v>15</v>
      </c>
      <c r="D6" s="21" t="s">
        <v>12</v>
      </c>
      <c r="E6" s="60"/>
      <c r="F6" s="60"/>
      <c r="G6" s="60"/>
      <c r="H6" s="60"/>
      <c r="I6" s="61"/>
      <c r="K6" s="12"/>
      <c r="L6" s="26" t="s">
        <v>15</v>
      </c>
      <c r="M6" s="21" t="s">
        <v>12</v>
      </c>
      <c r="N6" s="60"/>
      <c r="O6" s="60"/>
      <c r="P6" s="60"/>
      <c r="Q6" s="60"/>
      <c r="R6" s="61"/>
      <c r="S6" s="60"/>
      <c r="T6" s="12"/>
      <c r="U6" s="26" t="s">
        <v>15</v>
      </c>
      <c r="V6" s="21" t="s">
        <v>12</v>
      </c>
      <c r="W6" s="60"/>
      <c r="X6" s="60"/>
      <c r="Y6" s="60"/>
      <c r="Z6" s="60"/>
      <c r="AA6" s="61"/>
      <c r="AC6" s="12"/>
      <c r="AD6" s="26" t="s">
        <v>15</v>
      </c>
      <c r="AE6" s="21" t="s">
        <v>12</v>
      </c>
      <c r="AF6" s="60"/>
      <c r="AG6" s="60"/>
      <c r="AH6" s="60"/>
      <c r="AI6" s="60"/>
      <c r="AJ6" s="61"/>
      <c r="AL6" s="12"/>
      <c r="AM6" s="26" t="s">
        <v>15</v>
      </c>
      <c r="AN6" s="21" t="s">
        <v>12</v>
      </c>
      <c r="AO6" s="60"/>
      <c r="AP6" s="60"/>
      <c r="AQ6" s="60"/>
      <c r="AR6" s="60"/>
      <c r="AS6" s="61"/>
    </row>
    <row r="7" spans="2:45" x14ac:dyDescent="0.3">
      <c r="B7" s="12"/>
      <c r="C7" s="26" t="s">
        <v>16</v>
      </c>
      <c r="D7" s="40">
        <v>1E-3</v>
      </c>
      <c r="E7" s="60"/>
      <c r="F7" s="60"/>
      <c r="G7" s="60"/>
      <c r="H7" s="60"/>
      <c r="I7" s="61"/>
      <c r="K7" s="12"/>
      <c r="L7" s="26" t="s">
        <v>16</v>
      </c>
      <c r="M7" s="40">
        <v>1E-3</v>
      </c>
      <c r="N7" s="60"/>
      <c r="O7" s="60"/>
      <c r="P7" s="60"/>
      <c r="Q7" s="60"/>
      <c r="R7" s="61"/>
      <c r="S7" s="60"/>
      <c r="T7" s="12"/>
      <c r="U7" s="26" t="s">
        <v>16</v>
      </c>
      <c r="V7" s="40">
        <v>1E-3</v>
      </c>
      <c r="W7" s="60"/>
      <c r="X7" s="60"/>
      <c r="Y7" s="60"/>
      <c r="Z7" s="60"/>
      <c r="AA7" s="61"/>
      <c r="AC7" s="12"/>
      <c r="AD7" s="26" t="s">
        <v>16</v>
      </c>
      <c r="AE7" s="40">
        <v>1E-3</v>
      </c>
      <c r="AF7" s="60"/>
      <c r="AG7" s="60"/>
      <c r="AH7" s="60"/>
      <c r="AI7" s="60"/>
      <c r="AJ7" s="61"/>
      <c r="AL7" s="12"/>
      <c r="AM7" s="26" t="s">
        <v>16</v>
      </c>
      <c r="AN7" s="40">
        <v>1E-3</v>
      </c>
      <c r="AO7" s="60"/>
      <c r="AP7" s="60"/>
      <c r="AQ7" s="60"/>
      <c r="AR7" s="60"/>
      <c r="AS7" s="61"/>
    </row>
    <row r="8" spans="2:45" x14ac:dyDescent="0.3">
      <c r="B8" s="12"/>
      <c r="C8" s="60"/>
      <c r="D8" s="60"/>
      <c r="E8" s="60"/>
      <c r="F8" s="60"/>
      <c r="G8" s="60"/>
      <c r="H8" s="60"/>
      <c r="I8" s="61"/>
      <c r="K8" s="12"/>
      <c r="L8" s="60"/>
      <c r="M8" s="60"/>
      <c r="N8" s="60"/>
      <c r="O8" s="60"/>
      <c r="P8" s="60"/>
      <c r="Q8" s="60"/>
      <c r="R8" s="61"/>
      <c r="S8" s="60"/>
      <c r="T8" s="12"/>
      <c r="U8" s="60"/>
      <c r="V8" s="60"/>
      <c r="W8" s="60"/>
      <c r="X8" s="60"/>
      <c r="Y8" s="60"/>
      <c r="Z8" s="60"/>
      <c r="AA8" s="61"/>
      <c r="AC8" s="12"/>
      <c r="AD8" s="60"/>
      <c r="AE8" s="60"/>
      <c r="AF8" s="60"/>
      <c r="AG8" s="60"/>
      <c r="AH8" s="60"/>
      <c r="AI8" s="60"/>
      <c r="AJ8" s="61"/>
      <c r="AL8" s="12"/>
      <c r="AM8" s="60"/>
      <c r="AN8" s="60"/>
      <c r="AO8" s="60"/>
      <c r="AP8" s="60"/>
      <c r="AQ8" s="60"/>
      <c r="AR8" s="60"/>
      <c r="AS8" s="61"/>
    </row>
    <row r="9" spans="2:45" x14ac:dyDescent="0.3">
      <c r="B9" s="12"/>
      <c r="C9" s="20" t="s">
        <v>23</v>
      </c>
      <c r="D9" s="20" t="s">
        <v>25</v>
      </c>
      <c r="E9" s="60"/>
      <c r="F9" s="20"/>
      <c r="G9" s="20" t="s">
        <v>26</v>
      </c>
      <c r="H9" s="20" t="s">
        <v>27</v>
      </c>
      <c r="I9" s="62" t="s">
        <v>28</v>
      </c>
      <c r="K9" s="12"/>
      <c r="L9" s="20" t="s">
        <v>23</v>
      </c>
      <c r="M9" s="20" t="s">
        <v>25</v>
      </c>
      <c r="N9" s="60"/>
      <c r="O9" s="20"/>
      <c r="P9" s="20" t="s">
        <v>26</v>
      </c>
      <c r="Q9" s="20" t="s">
        <v>27</v>
      </c>
      <c r="R9" s="62" t="s">
        <v>28</v>
      </c>
      <c r="S9" s="13"/>
      <c r="T9" s="12"/>
      <c r="U9" s="20" t="s">
        <v>23</v>
      </c>
      <c r="V9" s="20" t="s">
        <v>25</v>
      </c>
      <c r="W9" s="60"/>
      <c r="X9" s="20"/>
      <c r="Y9" s="20" t="s">
        <v>26</v>
      </c>
      <c r="Z9" s="20" t="s">
        <v>27</v>
      </c>
      <c r="AA9" s="62" t="s">
        <v>28</v>
      </c>
      <c r="AC9" s="12"/>
      <c r="AD9" s="20" t="s">
        <v>23</v>
      </c>
      <c r="AE9" s="20" t="s">
        <v>25</v>
      </c>
      <c r="AF9" s="60"/>
      <c r="AG9" s="20"/>
      <c r="AH9" s="20" t="s">
        <v>26</v>
      </c>
      <c r="AI9" s="20" t="s">
        <v>27</v>
      </c>
      <c r="AJ9" s="62" t="s">
        <v>28</v>
      </c>
      <c r="AL9" s="12"/>
      <c r="AM9" s="20" t="s">
        <v>23</v>
      </c>
      <c r="AN9" s="20" t="s">
        <v>25</v>
      </c>
      <c r="AO9" s="60"/>
      <c r="AP9" s="20"/>
      <c r="AQ9" s="20" t="s">
        <v>26</v>
      </c>
      <c r="AR9" s="20" t="s">
        <v>27</v>
      </c>
      <c r="AS9" s="62" t="s">
        <v>28</v>
      </c>
    </row>
    <row r="10" spans="2:45" x14ac:dyDescent="0.3">
      <c r="B10" s="12"/>
      <c r="C10" s="60"/>
      <c r="D10" s="60"/>
      <c r="E10" s="60"/>
      <c r="F10" s="60"/>
      <c r="G10" s="60"/>
      <c r="H10" s="60"/>
      <c r="I10" s="61"/>
      <c r="K10" s="12"/>
      <c r="L10" s="60"/>
      <c r="M10" s="60"/>
      <c r="N10" s="60"/>
      <c r="O10" s="60"/>
      <c r="P10" s="60"/>
      <c r="Q10" s="60"/>
      <c r="R10" s="61"/>
      <c r="S10" s="60"/>
      <c r="T10" s="12"/>
      <c r="U10" s="60"/>
      <c r="V10" s="60"/>
      <c r="W10" s="60"/>
      <c r="X10" s="60"/>
      <c r="Y10" s="60"/>
      <c r="Z10" s="60"/>
      <c r="AA10" s="61"/>
      <c r="AC10" s="12"/>
      <c r="AD10" s="60"/>
      <c r="AE10" s="60"/>
      <c r="AF10" s="60"/>
      <c r="AG10" s="60"/>
      <c r="AH10" s="60"/>
      <c r="AI10" s="60"/>
      <c r="AJ10" s="61"/>
      <c r="AL10" s="12"/>
      <c r="AM10" s="60"/>
      <c r="AN10" s="60"/>
      <c r="AO10" s="60"/>
      <c r="AP10" s="60"/>
      <c r="AQ10" s="60"/>
      <c r="AR10" s="60"/>
      <c r="AS10" s="61"/>
    </row>
    <row r="11" spans="2:45" x14ac:dyDescent="0.3">
      <c r="B11" s="63" t="s">
        <v>2</v>
      </c>
      <c r="C11" s="64" t="s">
        <v>24</v>
      </c>
      <c r="D11" s="64" t="s">
        <v>24</v>
      </c>
      <c r="F11" s="64" t="s">
        <v>1</v>
      </c>
      <c r="G11" s="64" t="s">
        <v>24</v>
      </c>
      <c r="H11" s="64" t="s">
        <v>24</v>
      </c>
      <c r="I11" s="65" t="s">
        <v>24</v>
      </c>
      <c r="K11" s="63" t="s">
        <v>2</v>
      </c>
      <c r="L11" s="64" t="s">
        <v>24</v>
      </c>
      <c r="M11" s="64" t="s">
        <v>24</v>
      </c>
      <c r="O11" s="64" t="s">
        <v>1</v>
      </c>
      <c r="P11" s="64" t="s">
        <v>24</v>
      </c>
      <c r="Q11" s="64" t="s">
        <v>24</v>
      </c>
      <c r="R11" s="65" t="s">
        <v>24</v>
      </c>
      <c r="S11" s="41"/>
      <c r="T11" s="63" t="s">
        <v>2</v>
      </c>
      <c r="U11" s="64" t="s">
        <v>24</v>
      </c>
      <c r="V11" s="64" t="s">
        <v>24</v>
      </c>
      <c r="X11" s="64" t="s">
        <v>1</v>
      </c>
      <c r="Y11" s="64" t="s">
        <v>24</v>
      </c>
      <c r="Z11" s="64" t="s">
        <v>24</v>
      </c>
      <c r="AA11" s="65" t="s">
        <v>24</v>
      </c>
      <c r="AC11" s="63" t="s">
        <v>2</v>
      </c>
      <c r="AD11" s="64" t="s">
        <v>24</v>
      </c>
      <c r="AE11" s="64" t="s">
        <v>24</v>
      </c>
      <c r="AG11" s="64" t="s">
        <v>1</v>
      </c>
      <c r="AH11" s="64" t="s">
        <v>24</v>
      </c>
      <c r="AI11" s="64" t="s">
        <v>24</v>
      </c>
      <c r="AJ11" s="65" t="s">
        <v>24</v>
      </c>
      <c r="AL11" s="63" t="s">
        <v>2</v>
      </c>
      <c r="AM11" s="64" t="s">
        <v>24</v>
      </c>
      <c r="AN11" s="64" t="s">
        <v>24</v>
      </c>
      <c r="AP11" s="64" t="s">
        <v>1</v>
      </c>
      <c r="AQ11" s="64" t="s">
        <v>24</v>
      </c>
      <c r="AR11" s="64" t="s">
        <v>24</v>
      </c>
      <c r="AS11" s="65" t="s">
        <v>24</v>
      </c>
    </row>
    <row r="12" spans="2:45" x14ac:dyDescent="0.3">
      <c r="B12" s="40">
        <v>0</v>
      </c>
      <c r="C12" s="22"/>
      <c r="D12" s="22">
        <v>565.57429999999999</v>
      </c>
      <c r="F12" s="40">
        <v>0</v>
      </c>
      <c r="G12" s="22"/>
      <c r="H12" s="22">
        <v>578.63900000000001</v>
      </c>
      <c r="I12" s="22"/>
      <c r="K12" s="40">
        <v>0</v>
      </c>
      <c r="L12" s="22"/>
      <c r="M12" s="22">
        <v>576.83010000000002</v>
      </c>
      <c r="O12" s="40">
        <v>0</v>
      </c>
      <c r="P12" s="22"/>
      <c r="Q12" s="22">
        <v>635.44179999999994</v>
      </c>
      <c r="R12" s="22"/>
      <c r="S12" s="41"/>
      <c r="T12" s="40">
        <v>0</v>
      </c>
      <c r="U12" s="22"/>
      <c r="V12" s="22">
        <v>578.95479999999998</v>
      </c>
      <c r="X12">
        <v>0</v>
      </c>
      <c r="Y12" s="22"/>
      <c r="Z12">
        <v>668.3424</v>
      </c>
      <c r="AA12" s="22"/>
      <c r="AC12" s="40">
        <v>0</v>
      </c>
      <c r="AD12" s="22"/>
      <c r="AE12">
        <v>580.32470000000001</v>
      </c>
      <c r="AG12">
        <v>0</v>
      </c>
      <c r="AH12" s="22"/>
      <c r="AI12">
        <v>711.23680000000002</v>
      </c>
      <c r="AJ12" s="22"/>
      <c r="AL12">
        <v>0</v>
      </c>
      <c r="AM12" s="22"/>
      <c r="AN12" s="22">
        <v>580.55730000000005</v>
      </c>
      <c r="AP12">
        <v>0</v>
      </c>
      <c r="AQ12" s="22"/>
      <c r="AR12">
        <v>721.34879999999998</v>
      </c>
      <c r="AS12" s="22"/>
    </row>
    <row r="13" spans="2:45" x14ac:dyDescent="0.3">
      <c r="B13" s="40">
        <v>0.1</v>
      </c>
      <c r="C13" s="53"/>
      <c r="D13" s="22">
        <v>513.14250000000004</v>
      </c>
      <c r="F13" s="40">
        <v>0.5</v>
      </c>
      <c r="G13" s="22"/>
      <c r="H13" s="22">
        <v>513.14250000000004</v>
      </c>
      <c r="I13" s="22"/>
      <c r="K13" s="40">
        <v>0.05</v>
      </c>
      <c r="L13" s="22"/>
      <c r="M13" s="22">
        <v>520.96979999999996</v>
      </c>
      <c r="O13" s="40">
        <v>0.25</v>
      </c>
      <c r="P13" s="22"/>
      <c r="Q13" s="22">
        <v>528.2971</v>
      </c>
      <c r="R13" s="22"/>
      <c r="S13" s="41"/>
      <c r="T13" s="40">
        <v>3.3300000000000003E-2</v>
      </c>
      <c r="U13" s="22"/>
      <c r="V13" s="22">
        <v>534.72540000000004</v>
      </c>
      <c r="W13" s="41"/>
      <c r="X13">
        <v>0.16669999999999999</v>
      </c>
      <c r="Y13" s="41"/>
      <c r="Z13">
        <v>543.63109999999995</v>
      </c>
      <c r="AA13" s="41"/>
      <c r="AC13" s="40">
        <v>1.43E-2</v>
      </c>
      <c r="AD13" s="22"/>
      <c r="AE13">
        <v>557.81359999999995</v>
      </c>
      <c r="AG13">
        <v>7.1400000000000005E-2</v>
      </c>
      <c r="AI13">
        <v>601.86170000000004</v>
      </c>
      <c r="AL13">
        <v>6.7000000000000002E-3</v>
      </c>
      <c r="AN13">
        <v>569.36569999999995</v>
      </c>
      <c r="AP13">
        <v>3.3300000000000003E-2</v>
      </c>
      <c r="AR13">
        <v>655.77239999999995</v>
      </c>
    </row>
    <row r="14" spans="2:45" x14ac:dyDescent="0.3">
      <c r="B14" s="40">
        <v>0.2</v>
      </c>
      <c r="C14" s="53"/>
      <c r="D14" s="22">
        <v>684.90530000000001</v>
      </c>
      <c r="F14" s="40">
        <v>1</v>
      </c>
      <c r="G14" s="22"/>
      <c r="H14" s="22">
        <v>578.63909999999998</v>
      </c>
      <c r="I14" s="22"/>
      <c r="K14" s="40">
        <v>0.1</v>
      </c>
      <c r="L14" s="22"/>
      <c r="M14" s="22">
        <v>520.31899999999996</v>
      </c>
      <c r="O14" s="40">
        <v>0.5</v>
      </c>
      <c r="P14" s="22"/>
      <c r="Q14" s="22">
        <v>520.31899999999996</v>
      </c>
      <c r="R14" s="22"/>
      <c r="S14" s="41"/>
      <c r="T14" s="40">
        <v>6.6699999999999995E-2</v>
      </c>
      <c r="U14" s="22"/>
      <c r="V14" s="22">
        <v>516.33019999999999</v>
      </c>
      <c r="W14" s="41"/>
      <c r="X14">
        <v>0.33329999999999999</v>
      </c>
      <c r="Y14" s="41"/>
      <c r="Z14">
        <v>524.26919999999996</v>
      </c>
      <c r="AA14" s="41"/>
      <c r="AC14" s="40">
        <v>2.86E-2</v>
      </c>
      <c r="AD14" s="22"/>
      <c r="AE14">
        <v>540.49620000000004</v>
      </c>
      <c r="AG14">
        <v>0.1429</v>
      </c>
      <c r="AI14">
        <v>554.92290000000003</v>
      </c>
      <c r="AL14">
        <v>1.3299999999999999E-2</v>
      </c>
      <c r="AN14">
        <v>559.35829999999999</v>
      </c>
      <c r="AP14">
        <v>6.6699999999999995E-2</v>
      </c>
      <c r="AR14">
        <v>611.03399999999999</v>
      </c>
    </row>
    <row r="15" spans="2:45" x14ac:dyDescent="0.3">
      <c r="K15" s="40">
        <v>0.15</v>
      </c>
      <c r="L15" s="22"/>
      <c r="M15" s="22">
        <v>575.58280000000002</v>
      </c>
      <c r="O15" s="40">
        <v>0.75</v>
      </c>
      <c r="P15" s="22"/>
      <c r="Q15" s="22">
        <v>528.2971</v>
      </c>
      <c r="R15" s="22"/>
      <c r="S15" s="41"/>
      <c r="T15" s="40">
        <v>0.1</v>
      </c>
      <c r="U15" s="22"/>
      <c r="V15" s="22">
        <v>521.85360000000003</v>
      </c>
      <c r="W15" s="41"/>
      <c r="X15">
        <v>0.5</v>
      </c>
      <c r="Y15" s="41"/>
      <c r="Z15">
        <v>521.85360000000003</v>
      </c>
      <c r="AA15" s="41"/>
      <c r="AC15" s="40">
        <v>4.2900000000000001E-2</v>
      </c>
      <c r="AD15" s="22"/>
      <c r="AE15">
        <v>528.00760000000002</v>
      </c>
      <c r="AG15">
        <v>0.21429999999999999</v>
      </c>
      <c r="AI15">
        <v>535.2654</v>
      </c>
      <c r="AL15">
        <v>0.02</v>
      </c>
      <c r="AN15">
        <v>550.48720000000003</v>
      </c>
      <c r="AP15">
        <v>0.1</v>
      </c>
      <c r="AR15">
        <v>580.81650000000002</v>
      </c>
    </row>
    <row r="16" spans="2:45" x14ac:dyDescent="0.3">
      <c r="K16" s="40">
        <v>0.2</v>
      </c>
      <c r="L16" s="22"/>
      <c r="M16" s="22">
        <v>703.9742</v>
      </c>
      <c r="O16" s="40">
        <v>1</v>
      </c>
      <c r="P16" s="22"/>
      <c r="Q16" s="22">
        <v>635.44179999999994</v>
      </c>
      <c r="R16" s="22"/>
      <c r="S16" s="41"/>
      <c r="T16" s="40">
        <v>0.1333</v>
      </c>
      <c r="U16" s="22"/>
      <c r="V16" s="22">
        <v>552.20410000000004</v>
      </c>
      <c r="W16" s="41"/>
      <c r="X16">
        <v>0.66669999999999996</v>
      </c>
      <c r="Y16" s="41"/>
      <c r="Z16">
        <v>524.26919999999996</v>
      </c>
      <c r="AA16" s="41"/>
      <c r="AC16" s="40">
        <v>5.7099999999999998E-2</v>
      </c>
      <c r="AD16" s="22"/>
      <c r="AE16">
        <v>520.10019999999997</v>
      </c>
      <c r="AG16">
        <v>0.28570000000000001</v>
      </c>
      <c r="AI16">
        <v>527.32860000000005</v>
      </c>
      <c r="AL16">
        <v>2.6700000000000002E-2</v>
      </c>
      <c r="AN16">
        <v>542.7115</v>
      </c>
      <c r="AP16">
        <v>0.1333</v>
      </c>
      <c r="AR16">
        <v>560.58029999999997</v>
      </c>
    </row>
    <row r="17" spans="20:44" x14ac:dyDescent="0.3">
      <c r="T17" s="40">
        <v>0.16669999999999999</v>
      </c>
      <c r="U17" s="22"/>
      <c r="V17" s="22">
        <v>611.34190000000001</v>
      </c>
      <c r="X17">
        <v>0.83330000000000004</v>
      </c>
      <c r="Z17">
        <v>543.63109999999995</v>
      </c>
      <c r="AC17" s="40">
        <v>7.1400000000000005E-2</v>
      </c>
      <c r="AD17" s="22"/>
      <c r="AE17">
        <v>516.62909999999999</v>
      </c>
      <c r="AG17">
        <v>0.35709999999999997</v>
      </c>
      <c r="AI17">
        <v>524.25980000000004</v>
      </c>
      <c r="AL17">
        <v>3.3300000000000003E-2</v>
      </c>
      <c r="AN17">
        <v>535.99590000000001</v>
      </c>
      <c r="AP17">
        <v>0.16669999999999999</v>
      </c>
      <c r="AR17">
        <v>547.15030000000002</v>
      </c>
    </row>
    <row r="18" spans="20:44" x14ac:dyDescent="0.3">
      <c r="T18" s="40">
        <v>0.2</v>
      </c>
      <c r="U18" s="22"/>
      <c r="V18" s="22">
        <v>707.09709999999995</v>
      </c>
      <c r="X18">
        <v>1</v>
      </c>
      <c r="Z18">
        <v>668.3424</v>
      </c>
      <c r="AC18" s="40">
        <v>8.5699999999999998E-2</v>
      </c>
      <c r="AD18" s="22"/>
      <c r="AE18">
        <v>517.54349999999999</v>
      </c>
      <c r="AG18">
        <v>0.42859999999999998</v>
      </c>
      <c r="AI18">
        <v>523.15440000000001</v>
      </c>
      <c r="AL18">
        <v>0.04</v>
      </c>
      <c r="AN18">
        <v>530.31089999999995</v>
      </c>
      <c r="AP18">
        <v>0.2</v>
      </c>
      <c r="AR18">
        <v>538.32510000000002</v>
      </c>
    </row>
    <row r="19" spans="20:44" x14ac:dyDescent="0.3">
      <c r="AC19" s="40">
        <v>0.1</v>
      </c>
      <c r="AD19" s="22"/>
      <c r="AE19">
        <v>522.88279999999997</v>
      </c>
      <c r="AG19">
        <v>0.5</v>
      </c>
      <c r="AI19">
        <v>522.88279999999997</v>
      </c>
      <c r="AL19">
        <v>4.6699999999999998E-2</v>
      </c>
      <c r="AN19">
        <v>525.63210000000004</v>
      </c>
      <c r="AP19">
        <v>0.23330000000000001</v>
      </c>
      <c r="AR19">
        <v>532.58680000000004</v>
      </c>
    </row>
    <row r="20" spans="20:44" x14ac:dyDescent="0.3">
      <c r="AC20" s="40">
        <v>0.1143</v>
      </c>
      <c r="AD20" s="22"/>
      <c r="AE20">
        <v>532.77809999999999</v>
      </c>
      <c r="AG20">
        <v>0.57140000000000002</v>
      </c>
      <c r="AI20">
        <v>523.15440000000001</v>
      </c>
      <c r="AL20">
        <v>5.33E-2</v>
      </c>
      <c r="AN20">
        <v>521.94029999999998</v>
      </c>
      <c r="AP20">
        <v>0.26669999999999999</v>
      </c>
      <c r="AR20">
        <v>528.8963</v>
      </c>
    </row>
    <row r="21" spans="20:44" x14ac:dyDescent="0.3">
      <c r="V21" s="40"/>
      <c r="W21" s="22"/>
      <c r="X21" s="22"/>
      <c r="AC21" s="40">
        <v>0.12859999999999999</v>
      </c>
      <c r="AD21" s="22"/>
      <c r="AE21">
        <v>547.45839999999998</v>
      </c>
      <c r="AG21">
        <v>0.64290000000000003</v>
      </c>
      <c r="AI21">
        <v>524.25959999999998</v>
      </c>
      <c r="AL21">
        <v>0.06</v>
      </c>
      <c r="AN21">
        <v>519.22090000000003</v>
      </c>
      <c r="AP21">
        <v>0.3</v>
      </c>
      <c r="AR21">
        <v>526.54920000000004</v>
      </c>
    </row>
    <row r="22" spans="20:44" x14ac:dyDescent="0.3">
      <c r="AC22" s="40">
        <v>0.1429</v>
      </c>
      <c r="AD22" s="22"/>
      <c r="AE22">
        <v>567.26179999999999</v>
      </c>
      <c r="AG22">
        <v>0.71430000000000005</v>
      </c>
      <c r="AI22">
        <v>527.32809999999995</v>
      </c>
      <c r="AL22">
        <v>6.6699999999999995E-2</v>
      </c>
      <c r="AN22">
        <v>517.46370000000002</v>
      </c>
      <c r="AP22">
        <v>0.33329999999999999</v>
      </c>
      <c r="AR22">
        <v>525.07360000000006</v>
      </c>
    </row>
    <row r="23" spans="20:44" x14ac:dyDescent="0.3">
      <c r="AC23" s="40">
        <v>0.15709999999999999</v>
      </c>
      <c r="AD23" s="22"/>
      <c r="AE23">
        <v>592.64859999999999</v>
      </c>
      <c r="AG23">
        <v>0.78569999999999995</v>
      </c>
      <c r="AI23">
        <v>535.26430000000005</v>
      </c>
      <c r="AL23">
        <v>7.3300000000000004E-2</v>
      </c>
      <c r="AN23">
        <v>516.66300000000001</v>
      </c>
      <c r="AP23">
        <v>0.36670000000000003</v>
      </c>
      <c r="AR23">
        <v>524.15859999999998</v>
      </c>
    </row>
    <row r="24" spans="20:44" x14ac:dyDescent="0.3">
      <c r="AC24" s="40">
        <v>0.1714</v>
      </c>
      <c r="AD24" s="22"/>
      <c r="AE24">
        <v>624.21550000000002</v>
      </c>
      <c r="AG24">
        <v>0.85709999999999997</v>
      </c>
      <c r="AI24">
        <v>554.92070000000001</v>
      </c>
      <c r="AL24">
        <v>0.08</v>
      </c>
      <c r="AN24">
        <v>516.81740000000002</v>
      </c>
      <c r="AP24">
        <v>0.4</v>
      </c>
      <c r="AR24">
        <v>523.6028</v>
      </c>
    </row>
    <row r="25" spans="20:44" x14ac:dyDescent="0.3">
      <c r="AC25" s="40">
        <v>0.1857</v>
      </c>
      <c r="AD25" s="22"/>
      <c r="AE25">
        <v>662.70209999999997</v>
      </c>
      <c r="AG25">
        <v>0.92859999999999998</v>
      </c>
      <c r="AI25">
        <v>601.85969999999998</v>
      </c>
      <c r="AL25">
        <v>8.6699999999999999E-2</v>
      </c>
      <c r="AN25">
        <v>517.92960000000005</v>
      </c>
      <c r="AP25">
        <v>0.43330000000000002</v>
      </c>
      <c r="AR25">
        <v>523.27919999999995</v>
      </c>
    </row>
    <row r="26" spans="20:44" x14ac:dyDescent="0.3">
      <c r="AC26" s="40">
        <v>0.2</v>
      </c>
      <c r="AD26" s="22"/>
      <c r="AE26">
        <v>708.97839999999997</v>
      </c>
      <c r="AG26">
        <v>1</v>
      </c>
      <c r="AI26">
        <v>711.23500000000001</v>
      </c>
      <c r="AL26">
        <v>9.3299999999999994E-2</v>
      </c>
      <c r="AN26">
        <v>520.00670000000002</v>
      </c>
      <c r="AP26">
        <v>0.4667</v>
      </c>
      <c r="AR26">
        <v>523.11170000000004</v>
      </c>
    </row>
    <row r="27" spans="20:44" x14ac:dyDescent="0.3">
      <c r="AL27">
        <v>0.1</v>
      </c>
      <c r="AN27">
        <v>523.05999999999995</v>
      </c>
      <c r="AP27">
        <v>0.5</v>
      </c>
      <c r="AR27">
        <v>523.05999999999995</v>
      </c>
    </row>
    <row r="28" spans="20:44" x14ac:dyDescent="0.3">
      <c r="AL28">
        <v>0.1067</v>
      </c>
      <c r="AN28">
        <v>527.10530000000006</v>
      </c>
      <c r="AP28">
        <v>0.5333</v>
      </c>
      <c r="AR28">
        <v>523.1114</v>
      </c>
    </row>
    <row r="29" spans="20:44" x14ac:dyDescent="0.3">
      <c r="AL29">
        <v>0.1133</v>
      </c>
      <c r="AN29">
        <v>532.16300000000001</v>
      </c>
      <c r="AP29">
        <v>0.56669999999999998</v>
      </c>
      <c r="AR29">
        <v>523.27859999999998</v>
      </c>
    </row>
    <row r="30" spans="20:44" x14ac:dyDescent="0.3">
      <c r="AL30">
        <v>0.12</v>
      </c>
      <c r="AN30">
        <v>538.25829999999996</v>
      </c>
      <c r="AP30">
        <v>0.6</v>
      </c>
      <c r="AR30">
        <v>523.60170000000005</v>
      </c>
    </row>
    <row r="31" spans="20:44" x14ac:dyDescent="0.3">
      <c r="AL31">
        <v>0.12670000000000001</v>
      </c>
      <c r="AN31">
        <v>545.42160000000001</v>
      </c>
      <c r="AP31">
        <v>0.63329999999999997</v>
      </c>
      <c r="AR31">
        <v>524.15700000000004</v>
      </c>
    </row>
    <row r="32" spans="20:44" x14ac:dyDescent="0.3">
      <c r="AL32">
        <v>0.1333</v>
      </c>
      <c r="AN32">
        <v>553.6884</v>
      </c>
      <c r="AP32">
        <v>0.66669999999999996</v>
      </c>
      <c r="AR32">
        <v>525.07129999999995</v>
      </c>
    </row>
    <row r="33" spans="38:44" x14ac:dyDescent="0.3">
      <c r="AL33">
        <v>0.14000000000000001</v>
      </c>
      <c r="AN33">
        <v>563.10029999999995</v>
      </c>
      <c r="AP33">
        <v>0.7</v>
      </c>
      <c r="AR33">
        <v>526.54600000000005</v>
      </c>
    </row>
    <row r="34" spans="38:44" x14ac:dyDescent="0.3">
      <c r="AL34">
        <v>0.1467</v>
      </c>
      <c r="AN34">
        <v>573.70439999999996</v>
      </c>
      <c r="AP34">
        <v>0.73329999999999995</v>
      </c>
      <c r="AR34">
        <v>528.89179999999999</v>
      </c>
    </row>
    <row r="35" spans="38:44" x14ac:dyDescent="0.3">
      <c r="AL35">
        <v>0.15329999999999999</v>
      </c>
      <c r="AN35">
        <v>585.55449999999996</v>
      </c>
      <c r="AP35">
        <v>0.76670000000000005</v>
      </c>
      <c r="AR35">
        <v>532.5806</v>
      </c>
    </row>
    <row r="36" spans="38:44" x14ac:dyDescent="0.3">
      <c r="AL36">
        <v>0.16</v>
      </c>
      <c r="AN36">
        <v>598.71079999999995</v>
      </c>
      <c r="AP36">
        <v>0.8</v>
      </c>
      <c r="AR36">
        <v>538.31659999999999</v>
      </c>
    </row>
    <row r="37" spans="38:44" x14ac:dyDescent="0.3">
      <c r="AL37">
        <v>0.16669999999999999</v>
      </c>
      <c r="AN37">
        <v>613.24030000000005</v>
      </c>
      <c r="AP37">
        <v>0.83330000000000004</v>
      </c>
      <c r="AR37">
        <v>547.13879999999995</v>
      </c>
    </row>
    <row r="38" spans="38:44" x14ac:dyDescent="0.3">
      <c r="AL38">
        <v>0.17330000000000001</v>
      </c>
      <c r="AN38">
        <v>629.21699999999998</v>
      </c>
      <c r="AP38">
        <v>0.86670000000000003</v>
      </c>
      <c r="AR38">
        <v>560.56479999999999</v>
      </c>
    </row>
    <row r="39" spans="38:44" x14ac:dyDescent="0.3">
      <c r="AL39">
        <v>0.18</v>
      </c>
      <c r="AN39">
        <v>646.72119999999995</v>
      </c>
      <c r="AP39">
        <v>0.9</v>
      </c>
      <c r="AR39">
        <v>580.79589999999996</v>
      </c>
    </row>
    <row r="40" spans="38:44" x14ac:dyDescent="0.3">
      <c r="AL40">
        <v>0.1867</v>
      </c>
      <c r="AN40">
        <v>665.83989999999994</v>
      </c>
      <c r="AP40">
        <v>0.93330000000000002</v>
      </c>
      <c r="AR40">
        <v>611.00729999999999</v>
      </c>
    </row>
    <row r="41" spans="38:44" x14ac:dyDescent="0.3">
      <c r="AL41">
        <v>0.1933</v>
      </c>
      <c r="AN41">
        <v>686.66520000000003</v>
      </c>
      <c r="AP41">
        <v>0.9667</v>
      </c>
      <c r="AR41">
        <v>655.74400000000003</v>
      </c>
    </row>
    <row r="42" spans="38:44" x14ac:dyDescent="0.3">
      <c r="AL42">
        <v>0.2</v>
      </c>
      <c r="AN42">
        <v>709.29340000000002</v>
      </c>
      <c r="AP42">
        <v>1</v>
      </c>
      <c r="AR42">
        <v>721.32219999999995</v>
      </c>
    </row>
  </sheetData>
  <mergeCells count="10">
    <mergeCell ref="AM2:AN2"/>
    <mergeCell ref="AO2:AS2"/>
    <mergeCell ref="C2:D2"/>
    <mergeCell ref="E2:I2"/>
    <mergeCell ref="L2:M2"/>
    <mergeCell ref="N2:R2"/>
    <mergeCell ref="AD2:AE2"/>
    <mergeCell ref="AF2:AJ2"/>
    <mergeCell ref="U2:V2"/>
    <mergeCell ref="W2:AA2"/>
  </mergeCells>
  <dataValidations disablePrompts="1" count="1">
    <dataValidation type="list" allowBlank="1" showInputMessage="1" showErrorMessage="1" sqref="D6 AE6 M6 V6 AN6">
      <formula1>$BC$3:$BC$6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Gráficos</vt:lpstr>
      </vt:variant>
      <vt:variant>
        <vt:i4>13</vt:i4>
      </vt:variant>
    </vt:vector>
  </HeadingPairs>
  <TitlesOfParts>
    <vt:vector size="19" baseType="lpstr">
      <vt:lpstr>Cp</vt:lpstr>
      <vt:lpstr>k</vt:lpstr>
      <vt:lpstr>Emissividade</vt:lpstr>
      <vt:lpstr>IndepMalha 200s</vt:lpstr>
      <vt:lpstr>Indep Malha 1940s _Linhas</vt:lpstr>
      <vt:lpstr>Indep Malha  800s_Linhas</vt:lpstr>
      <vt:lpstr>Ponto 1</vt:lpstr>
      <vt:lpstr>Ponto 2</vt:lpstr>
      <vt:lpstr>Ponto 3</vt:lpstr>
      <vt:lpstr>Ponto 4</vt:lpstr>
      <vt:lpstr>Ponto 5</vt:lpstr>
      <vt:lpstr>Ponto 6</vt:lpstr>
      <vt:lpstr>Ponto 7</vt:lpstr>
      <vt:lpstr>Ponto 8</vt:lpstr>
      <vt:lpstr>Ponto 9</vt:lpstr>
      <vt:lpstr>1940 s X 0.50</vt:lpstr>
      <vt:lpstr>1940 s Y 0.10</vt:lpstr>
      <vt:lpstr>800 s X 0.50</vt:lpstr>
      <vt:lpstr>800 s Y 0.10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Dickson ALves de Souza</dc:creator>
  <cp:lastModifiedBy>Dickson Alves</cp:lastModifiedBy>
  <dcterms:created xsi:type="dcterms:W3CDTF">2017-10-23T10:59:55Z</dcterms:created>
  <dcterms:modified xsi:type="dcterms:W3CDTF">2017-10-24T04:01:10Z</dcterms:modified>
</cp:coreProperties>
</file>